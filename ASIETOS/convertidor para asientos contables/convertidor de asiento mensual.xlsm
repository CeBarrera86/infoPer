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15480" windowHeight="11640" activeTab="1"/>
  </bookViews>
  <sheets>
    <sheet name="Macro1" sheetId="2" r:id="rId1"/>
    <sheet name="Hoja1" sheetId="1" r:id="rId2"/>
  </sheets>
  <definedNames>
    <definedName name="DATOSASI">Hoja1!$L$2:$T$250</definedName>
    <definedName name="DATOSASI1">Hoja1!$L$2:$T$350</definedName>
  </definedNames>
  <calcPr calcId="101716"/>
</workbook>
</file>

<file path=xl/calcChain.xml><?xml version="1.0" encoding="utf-8"?>
<calcChain xmlns="http://schemas.openxmlformats.org/spreadsheetml/2006/main">
  <c r="M307" i="1" l="1"/>
  <c r="N307" i="1"/>
  <c r="P307" i="1"/>
  <c r="Q307" i="1"/>
  <c r="R307" i="1"/>
  <c r="T307" i="1"/>
  <c r="U307" i="1"/>
  <c r="V307" i="1"/>
  <c r="AB307" i="1"/>
  <c r="X307" i="1"/>
  <c r="W307" i="1"/>
  <c r="M308" i="1"/>
  <c r="N308" i="1"/>
  <c r="P308" i="1"/>
  <c r="Q308" i="1"/>
  <c r="R308" i="1"/>
  <c r="T308" i="1"/>
  <c r="U308" i="1"/>
  <c r="V308" i="1"/>
  <c r="AB308" i="1"/>
  <c r="X308" i="1"/>
  <c r="W308" i="1"/>
  <c r="M309" i="1"/>
  <c r="N309" i="1"/>
  <c r="P309" i="1"/>
  <c r="Q309" i="1"/>
  <c r="R309" i="1"/>
  <c r="T309" i="1"/>
  <c r="U309" i="1"/>
  <c r="V309" i="1"/>
  <c r="AB309" i="1"/>
  <c r="X309" i="1"/>
  <c r="W309" i="1"/>
  <c r="M310" i="1"/>
  <c r="N310" i="1"/>
  <c r="P310" i="1"/>
  <c r="Q310" i="1"/>
  <c r="R310" i="1"/>
  <c r="T310" i="1"/>
  <c r="U310" i="1"/>
  <c r="V310" i="1"/>
  <c r="AB310" i="1"/>
  <c r="X310" i="1"/>
  <c r="W310" i="1"/>
  <c r="M311" i="1"/>
  <c r="N311" i="1"/>
  <c r="P311" i="1"/>
  <c r="Q311" i="1"/>
  <c r="R311" i="1"/>
  <c r="T311" i="1"/>
  <c r="U311" i="1"/>
  <c r="V311" i="1"/>
  <c r="AB311" i="1"/>
  <c r="X311" i="1"/>
  <c r="W311" i="1"/>
  <c r="M312" i="1"/>
  <c r="N312" i="1"/>
  <c r="P312" i="1"/>
  <c r="Q312" i="1"/>
  <c r="R312" i="1"/>
  <c r="T312" i="1"/>
  <c r="U312" i="1"/>
  <c r="V312" i="1"/>
  <c r="AB312" i="1"/>
  <c r="X312" i="1"/>
  <c r="W312" i="1"/>
  <c r="M313" i="1"/>
  <c r="N313" i="1"/>
  <c r="P313" i="1"/>
  <c r="Q313" i="1"/>
  <c r="R313" i="1"/>
  <c r="T313" i="1"/>
  <c r="U313" i="1"/>
  <c r="V313" i="1"/>
  <c r="AB313" i="1"/>
  <c r="X313" i="1"/>
  <c r="W313" i="1"/>
  <c r="M314" i="1"/>
  <c r="N314" i="1"/>
  <c r="P314" i="1"/>
  <c r="Q314" i="1"/>
  <c r="R314" i="1"/>
  <c r="T314" i="1"/>
  <c r="U314" i="1"/>
  <c r="V314" i="1"/>
  <c r="AB314" i="1"/>
  <c r="X314" i="1"/>
  <c r="W314" i="1"/>
  <c r="M315" i="1"/>
  <c r="N315" i="1"/>
  <c r="P315" i="1"/>
  <c r="Q315" i="1"/>
  <c r="R315" i="1"/>
  <c r="T315" i="1"/>
  <c r="U315" i="1"/>
  <c r="V315" i="1"/>
  <c r="AB315" i="1"/>
  <c r="X315" i="1"/>
  <c r="W315" i="1"/>
  <c r="M316" i="1"/>
  <c r="N316" i="1"/>
  <c r="P316" i="1"/>
  <c r="Q316" i="1"/>
  <c r="R316" i="1"/>
  <c r="T316" i="1"/>
  <c r="U316" i="1"/>
  <c r="V316" i="1"/>
  <c r="AB316" i="1"/>
  <c r="X316" i="1"/>
  <c r="W316" i="1"/>
  <c r="M317" i="1"/>
  <c r="N317" i="1"/>
  <c r="P317" i="1"/>
  <c r="Q317" i="1"/>
  <c r="R317" i="1"/>
  <c r="T317" i="1"/>
  <c r="U317" i="1"/>
  <c r="V317" i="1"/>
  <c r="AB317" i="1"/>
  <c r="X317" i="1"/>
  <c r="W317" i="1"/>
  <c r="M318" i="1"/>
  <c r="N318" i="1"/>
  <c r="P318" i="1"/>
  <c r="Q318" i="1"/>
  <c r="R318" i="1"/>
  <c r="T318" i="1"/>
  <c r="U318" i="1"/>
  <c r="V318" i="1"/>
  <c r="AB318" i="1"/>
  <c r="X318" i="1"/>
  <c r="W318" i="1"/>
  <c r="M319" i="1"/>
  <c r="N319" i="1"/>
  <c r="P319" i="1"/>
  <c r="Q319" i="1"/>
  <c r="R319" i="1"/>
  <c r="T319" i="1"/>
  <c r="U319" i="1"/>
  <c r="V319" i="1"/>
  <c r="AB319" i="1"/>
  <c r="X319" i="1"/>
  <c r="W319" i="1"/>
  <c r="M320" i="1"/>
  <c r="N320" i="1"/>
  <c r="P320" i="1"/>
  <c r="Q320" i="1"/>
  <c r="R320" i="1"/>
  <c r="T320" i="1"/>
  <c r="U320" i="1"/>
  <c r="V320" i="1"/>
  <c r="AB320" i="1"/>
  <c r="X320" i="1"/>
  <c r="W320" i="1"/>
  <c r="M321" i="1"/>
  <c r="N321" i="1"/>
  <c r="P321" i="1"/>
  <c r="Q321" i="1"/>
  <c r="R321" i="1"/>
  <c r="T321" i="1"/>
  <c r="U321" i="1"/>
  <c r="V321" i="1"/>
  <c r="AB321" i="1"/>
  <c r="X321" i="1"/>
  <c r="W321" i="1"/>
  <c r="M322" i="1"/>
  <c r="N322" i="1"/>
  <c r="P322" i="1"/>
  <c r="Q322" i="1"/>
  <c r="R322" i="1"/>
  <c r="T322" i="1"/>
  <c r="U322" i="1"/>
  <c r="V322" i="1"/>
  <c r="AB322" i="1"/>
  <c r="X322" i="1"/>
  <c r="W322" i="1"/>
  <c r="M323" i="1"/>
  <c r="N323" i="1"/>
  <c r="P323" i="1"/>
  <c r="Q323" i="1"/>
  <c r="R323" i="1"/>
  <c r="T323" i="1"/>
  <c r="U323" i="1"/>
  <c r="V323" i="1"/>
  <c r="AB323" i="1"/>
  <c r="X323" i="1"/>
  <c r="W323" i="1"/>
  <c r="M324" i="1"/>
  <c r="N324" i="1"/>
  <c r="P324" i="1"/>
  <c r="Q324" i="1"/>
  <c r="R324" i="1"/>
  <c r="T324" i="1"/>
  <c r="U324" i="1"/>
  <c r="V324" i="1"/>
  <c r="AB324" i="1"/>
  <c r="X324" i="1"/>
  <c r="W324" i="1"/>
  <c r="M325" i="1"/>
  <c r="N325" i="1"/>
  <c r="P325" i="1"/>
  <c r="Q325" i="1"/>
  <c r="R325" i="1"/>
  <c r="T325" i="1"/>
  <c r="U325" i="1"/>
  <c r="V325" i="1"/>
  <c r="AB325" i="1"/>
  <c r="X325" i="1"/>
  <c r="W325" i="1"/>
  <c r="M326" i="1"/>
  <c r="N326" i="1"/>
  <c r="P326" i="1"/>
  <c r="Q326" i="1"/>
  <c r="R326" i="1"/>
  <c r="T326" i="1"/>
  <c r="U326" i="1"/>
  <c r="V326" i="1"/>
  <c r="AB326" i="1"/>
  <c r="X326" i="1"/>
  <c r="W326" i="1"/>
  <c r="M327" i="1"/>
  <c r="N327" i="1"/>
  <c r="P327" i="1"/>
  <c r="Q327" i="1"/>
  <c r="R327" i="1"/>
  <c r="T327" i="1"/>
  <c r="U327" i="1"/>
  <c r="V327" i="1"/>
  <c r="AB327" i="1"/>
  <c r="X327" i="1"/>
  <c r="W327" i="1"/>
  <c r="M328" i="1"/>
  <c r="N328" i="1"/>
  <c r="P328" i="1"/>
  <c r="Q328" i="1"/>
  <c r="R328" i="1"/>
  <c r="T328" i="1"/>
  <c r="U328" i="1"/>
  <c r="V328" i="1"/>
  <c r="AB328" i="1"/>
  <c r="X328" i="1"/>
  <c r="W328" i="1"/>
  <c r="M329" i="1"/>
  <c r="N329" i="1"/>
  <c r="P329" i="1"/>
  <c r="Q329" i="1"/>
  <c r="R329" i="1"/>
  <c r="T329" i="1"/>
  <c r="U329" i="1"/>
  <c r="V329" i="1"/>
  <c r="AB329" i="1"/>
  <c r="X329" i="1"/>
  <c r="W329" i="1"/>
  <c r="M330" i="1"/>
  <c r="N330" i="1"/>
  <c r="P330" i="1"/>
  <c r="Q330" i="1"/>
  <c r="R330" i="1"/>
  <c r="T330" i="1"/>
  <c r="U330" i="1"/>
  <c r="V330" i="1"/>
  <c r="AB330" i="1"/>
  <c r="X330" i="1"/>
  <c r="W330" i="1"/>
  <c r="M331" i="1"/>
  <c r="N331" i="1"/>
  <c r="P331" i="1"/>
  <c r="Q331" i="1"/>
  <c r="R331" i="1"/>
  <c r="T331" i="1"/>
  <c r="U331" i="1"/>
  <c r="V331" i="1"/>
  <c r="AB331" i="1"/>
  <c r="X331" i="1"/>
  <c r="W331" i="1"/>
  <c r="M332" i="1"/>
  <c r="N332" i="1"/>
  <c r="P332" i="1"/>
  <c r="Q332" i="1"/>
  <c r="R332" i="1"/>
  <c r="T332" i="1"/>
  <c r="U332" i="1"/>
  <c r="V332" i="1"/>
  <c r="AB332" i="1"/>
  <c r="X332" i="1"/>
  <c r="W332" i="1"/>
  <c r="M333" i="1"/>
  <c r="N333" i="1"/>
  <c r="P333" i="1"/>
  <c r="Q333" i="1"/>
  <c r="R333" i="1"/>
  <c r="T333" i="1"/>
  <c r="U333" i="1"/>
  <c r="V333" i="1"/>
  <c r="AB333" i="1"/>
  <c r="X333" i="1"/>
  <c r="W333" i="1"/>
  <c r="M334" i="1"/>
  <c r="N334" i="1"/>
  <c r="P334" i="1"/>
  <c r="Q334" i="1"/>
  <c r="R334" i="1"/>
  <c r="T334" i="1"/>
  <c r="U334" i="1"/>
  <c r="V334" i="1"/>
  <c r="AB334" i="1"/>
  <c r="X334" i="1"/>
  <c r="W334" i="1"/>
  <c r="M335" i="1"/>
  <c r="N335" i="1"/>
  <c r="P335" i="1"/>
  <c r="Q335" i="1"/>
  <c r="R335" i="1"/>
  <c r="T335" i="1"/>
  <c r="U335" i="1"/>
  <c r="V335" i="1"/>
  <c r="AB335" i="1"/>
  <c r="X335" i="1"/>
  <c r="W335" i="1"/>
  <c r="M336" i="1"/>
  <c r="N336" i="1"/>
  <c r="P336" i="1"/>
  <c r="Q336" i="1"/>
  <c r="R336" i="1"/>
  <c r="T336" i="1"/>
  <c r="U336" i="1"/>
  <c r="V336" i="1"/>
  <c r="AB336" i="1"/>
  <c r="X336" i="1"/>
  <c r="W336" i="1"/>
  <c r="M337" i="1"/>
  <c r="N337" i="1"/>
  <c r="P337" i="1"/>
  <c r="Q337" i="1"/>
  <c r="R337" i="1"/>
  <c r="T337" i="1"/>
  <c r="U337" i="1"/>
  <c r="V337" i="1"/>
  <c r="AB337" i="1"/>
  <c r="X337" i="1"/>
  <c r="W337" i="1"/>
  <c r="M338" i="1"/>
  <c r="N338" i="1"/>
  <c r="P338" i="1"/>
  <c r="Q338" i="1"/>
  <c r="R338" i="1"/>
  <c r="T338" i="1"/>
  <c r="U338" i="1"/>
  <c r="V338" i="1"/>
  <c r="AB338" i="1"/>
  <c r="X338" i="1"/>
  <c r="W338" i="1"/>
  <c r="M339" i="1"/>
  <c r="N339" i="1"/>
  <c r="P339" i="1"/>
  <c r="Q339" i="1"/>
  <c r="R339" i="1"/>
  <c r="T339" i="1"/>
  <c r="U339" i="1"/>
  <c r="V339" i="1"/>
  <c r="AB339" i="1"/>
  <c r="X339" i="1"/>
  <c r="W339" i="1"/>
  <c r="M340" i="1"/>
  <c r="N340" i="1"/>
  <c r="P340" i="1"/>
  <c r="Q340" i="1"/>
  <c r="R340" i="1"/>
  <c r="T340" i="1"/>
  <c r="U340" i="1"/>
  <c r="V340" i="1"/>
  <c r="AB340" i="1"/>
  <c r="X340" i="1"/>
  <c r="W340" i="1"/>
  <c r="M341" i="1"/>
  <c r="N341" i="1"/>
  <c r="P341" i="1"/>
  <c r="Q341" i="1"/>
  <c r="R341" i="1"/>
  <c r="T341" i="1"/>
  <c r="U341" i="1"/>
  <c r="V341" i="1"/>
  <c r="AB341" i="1"/>
  <c r="X341" i="1"/>
  <c r="W341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N240" i="1"/>
  <c r="P240" i="1"/>
  <c r="Q240" i="1"/>
  <c r="R240" i="1"/>
  <c r="T240" i="1"/>
  <c r="U240" i="1"/>
  <c r="V240" i="1"/>
  <c r="X240" i="1"/>
  <c r="W240" i="1"/>
  <c r="N241" i="1"/>
  <c r="P241" i="1"/>
  <c r="Q241" i="1"/>
  <c r="R241" i="1"/>
  <c r="T241" i="1"/>
  <c r="U241" i="1"/>
  <c r="V241" i="1"/>
  <c r="X241" i="1"/>
  <c r="W241" i="1"/>
  <c r="N242" i="1"/>
  <c r="P242" i="1"/>
  <c r="Q242" i="1"/>
  <c r="R242" i="1"/>
  <c r="T242" i="1"/>
  <c r="U242" i="1"/>
  <c r="V242" i="1"/>
  <c r="X242" i="1"/>
  <c r="W242" i="1"/>
  <c r="N243" i="1"/>
  <c r="P243" i="1"/>
  <c r="Q243" i="1"/>
  <c r="R243" i="1"/>
  <c r="T243" i="1"/>
  <c r="U243" i="1"/>
  <c r="V243" i="1"/>
  <c r="X243" i="1"/>
  <c r="W243" i="1"/>
  <c r="N244" i="1"/>
  <c r="P244" i="1"/>
  <c r="Q244" i="1"/>
  <c r="R244" i="1"/>
  <c r="T244" i="1"/>
  <c r="U244" i="1"/>
  <c r="V244" i="1"/>
  <c r="X244" i="1"/>
  <c r="W244" i="1"/>
  <c r="N245" i="1"/>
  <c r="P245" i="1"/>
  <c r="Q245" i="1"/>
  <c r="R245" i="1"/>
  <c r="T245" i="1"/>
  <c r="U245" i="1"/>
  <c r="V245" i="1"/>
  <c r="X245" i="1"/>
  <c r="W245" i="1"/>
  <c r="N246" i="1"/>
  <c r="P246" i="1"/>
  <c r="Q246" i="1"/>
  <c r="R246" i="1"/>
  <c r="T246" i="1"/>
  <c r="U246" i="1"/>
  <c r="V246" i="1"/>
  <c r="X246" i="1"/>
  <c r="W246" i="1"/>
  <c r="N247" i="1"/>
  <c r="P247" i="1"/>
  <c r="Q247" i="1"/>
  <c r="R247" i="1"/>
  <c r="T247" i="1"/>
  <c r="U247" i="1"/>
  <c r="V247" i="1"/>
  <c r="X247" i="1"/>
  <c r="W247" i="1"/>
  <c r="N248" i="1"/>
  <c r="P248" i="1"/>
  <c r="Q248" i="1"/>
  <c r="R248" i="1"/>
  <c r="T248" i="1"/>
  <c r="U248" i="1"/>
  <c r="V248" i="1"/>
  <c r="X248" i="1"/>
  <c r="W248" i="1"/>
  <c r="N249" i="1"/>
  <c r="P249" i="1"/>
  <c r="Q249" i="1"/>
  <c r="R249" i="1"/>
  <c r="T249" i="1"/>
  <c r="U249" i="1"/>
  <c r="V249" i="1"/>
  <c r="X249" i="1"/>
  <c r="W249" i="1"/>
  <c r="N250" i="1"/>
  <c r="P250" i="1"/>
  <c r="Q250" i="1"/>
  <c r="R250" i="1"/>
  <c r="T250" i="1"/>
  <c r="U250" i="1"/>
  <c r="V250" i="1"/>
  <c r="X250" i="1"/>
  <c r="W250" i="1"/>
  <c r="N251" i="1"/>
  <c r="P251" i="1"/>
  <c r="Q251" i="1"/>
  <c r="R251" i="1"/>
  <c r="T251" i="1"/>
  <c r="U251" i="1"/>
  <c r="V251" i="1"/>
  <c r="X251" i="1"/>
  <c r="W251" i="1"/>
  <c r="N252" i="1"/>
  <c r="P252" i="1"/>
  <c r="Q252" i="1"/>
  <c r="R252" i="1"/>
  <c r="T252" i="1"/>
  <c r="U252" i="1"/>
  <c r="V252" i="1"/>
  <c r="X252" i="1"/>
  <c r="W252" i="1"/>
  <c r="N253" i="1"/>
  <c r="P253" i="1"/>
  <c r="Q253" i="1"/>
  <c r="R253" i="1"/>
  <c r="T253" i="1"/>
  <c r="U253" i="1"/>
  <c r="V253" i="1"/>
  <c r="X253" i="1"/>
  <c r="W253" i="1"/>
  <c r="N254" i="1"/>
  <c r="P254" i="1"/>
  <c r="Q254" i="1"/>
  <c r="R254" i="1"/>
  <c r="T254" i="1"/>
  <c r="U254" i="1"/>
  <c r="V254" i="1"/>
  <c r="X254" i="1"/>
  <c r="W254" i="1"/>
  <c r="N255" i="1"/>
  <c r="P255" i="1"/>
  <c r="Q255" i="1"/>
  <c r="R255" i="1"/>
  <c r="T255" i="1"/>
  <c r="U255" i="1"/>
  <c r="V255" i="1"/>
  <c r="X255" i="1"/>
  <c r="W255" i="1"/>
  <c r="N256" i="1"/>
  <c r="P256" i="1"/>
  <c r="Q256" i="1"/>
  <c r="R256" i="1"/>
  <c r="T256" i="1"/>
  <c r="U256" i="1"/>
  <c r="V256" i="1"/>
  <c r="X256" i="1"/>
  <c r="W256" i="1"/>
  <c r="N257" i="1"/>
  <c r="P257" i="1"/>
  <c r="Q257" i="1"/>
  <c r="R257" i="1"/>
  <c r="T257" i="1"/>
  <c r="U257" i="1"/>
  <c r="V257" i="1"/>
  <c r="X257" i="1"/>
  <c r="W257" i="1"/>
  <c r="N258" i="1"/>
  <c r="P258" i="1"/>
  <c r="Q258" i="1"/>
  <c r="R258" i="1"/>
  <c r="T258" i="1"/>
  <c r="U258" i="1"/>
  <c r="V258" i="1"/>
  <c r="X258" i="1"/>
  <c r="W258" i="1"/>
  <c r="N259" i="1"/>
  <c r="P259" i="1"/>
  <c r="Q259" i="1"/>
  <c r="R259" i="1"/>
  <c r="T259" i="1"/>
  <c r="U259" i="1"/>
  <c r="V259" i="1"/>
  <c r="X259" i="1"/>
  <c r="W259" i="1"/>
  <c r="N260" i="1"/>
  <c r="P260" i="1"/>
  <c r="Q260" i="1"/>
  <c r="R260" i="1"/>
  <c r="T260" i="1"/>
  <c r="U260" i="1"/>
  <c r="V260" i="1"/>
  <c r="X260" i="1"/>
  <c r="W260" i="1"/>
  <c r="N261" i="1"/>
  <c r="P261" i="1"/>
  <c r="Q261" i="1"/>
  <c r="R261" i="1"/>
  <c r="T261" i="1"/>
  <c r="U261" i="1"/>
  <c r="V261" i="1"/>
  <c r="X261" i="1"/>
  <c r="W261" i="1"/>
  <c r="N262" i="1"/>
  <c r="P262" i="1"/>
  <c r="Q262" i="1"/>
  <c r="R262" i="1"/>
  <c r="T262" i="1"/>
  <c r="U262" i="1"/>
  <c r="V262" i="1"/>
  <c r="X262" i="1"/>
  <c r="W262" i="1"/>
  <c r="N263" i="1"/>
  <c r="P263" i="1"/>
  <c r="Q263" i="1"/>
  <c r="R263" i="1"/>
  <c r="T263" i="1"/>
  <c r="U263" i="1"/>
  <c r="V263" i="1"/>
  <c r="X263" i="1"/>
  <c r="W263" i="1"/>
  <c r="N264" i="1"/>
  <c r="P264" i="1"/>
  <c r="Q264" i="1"/>
  <c r="R264" i="1"/>
  <c r="T264" i="1"/>
  <c r="U264" i="1"/>
  <c r="V264" i="1"/>
  <c r="X264" i="1"/>
  <c r="W264" i="1"/>
  <c r="N265" i="1"/>
  <c r="P265" i="1"/>
  <c r="Q265" i="1"/>
  <c r="R265" i="1"/>
  <c r="T265" i="1"/>
  <c r="U265" i="1"/>
  <c r="V265" i="1"/>
  <c r="X265" i="1"/>
  <c r="W265" i="1"/>
  <c r="N266" i="1"/>
  <c r="P266" i="1"/>
  <c r="Q266" i="1"/>
  <c r="R266" i="1"/>
  <c r="T266" i="1"/>
  <c r="U266" i="1"/>
  <c r="V266" i="1"/>
  <c r="X266" i="1"/>
  <c r="W266" i="1"/>
  <c r="N267" i="1"/>
  <c r="P267" i="1"/>
  <c r="Q267" i="1"/>
  <c r="R267" i="1"/>
  <c r="T267" i="1"/>
  <c r="U267" i="1"/>
  <c r="V267" i="1"/>
  <c r="X267" i="1"/>
  <c r="W267" i="1"/>
  <c r="N268" i="1"/>
  <c r="P268" i="1"/>
  <c r="Q268" i="1"/>
  <c r="R268" i="1"/>
  <c r="T268" i="1"/>
  <c r="U268" i="1"/>
  <c r="V268" i="1"/>
  <c r="X268" i="1"/>
  <c r="W268" i="1"/>
  <c r="N269" i="1"/>
  <c r="P269" i="1"/>
  <c r="Q269" i="1"/>
  <c r="R269" i="1"/>
  <c r="T269" i="1"/>
  <c r="U269" i="1"/>
  <c r="V269" i="1"/>
  <c r="X269" i="1"/>
  <c r="W269" i="1"/>
  <c r="N270" i="1"/>
  <c r="P270" i="1"/>
  <c r="Q270" i="1"/>
  <c r="R270" i="1"/>
  <c r="T270" i="1"/>
  <c r="U270" i="1"/>
  <c r="V270" i="1"/>
  <c r="X270" i="1"/>
  <c r="W270" i="1"/>
  <c r="N271" i="1"/>
  <c r="P271" i="1"/>
  <c r="Q271" i="1"/>
  <c r="R271" i="1"/>
  <c r="T271" i="1"/>
  <c r="U271" i="1"/>
  <c r="V271" i="1"/>
  <c r="X271" i="1"/>
  <c r="W271" i="1"/>
  <c r="N272" i="1"/>
  <c r="P272" i="1"/>
  <c r="Q272" i="1"/>
  <c r="R272" i="1"/>
  <c r="T272" i="1"/>
  <c r="U272" i="1"/>
  <c r="V272" i="1"/>
  <c r="X272" i="1"/>
  <c r="W272" i="1"/>
  <c r="N273" i="1"/>
  <c r="P273" i="1"/>
  <c r="Q273" i="1"/>
  <c r="R273" i="1"/>
  <c r="T273" i="1"/>
  <c r="U273" i="1"/>
  <c r="V273" i="1"/>
  <c r="X273" i="1"/>
  <c r="W273" i="1"/>
  <c r="N274" i="1"/>
  <c r="P274" i="1"/>
  <c r="Q274" i="1"/>
  <c r="R274" i="1"/>
  <c r="T274" i="1"/>
  <c r="U274" i="1"/>
  <c r="V274" i="1"/>
  <c r="X274" i="1"/>
  <c r="W274" i="1"/>
  <c r="N275" i="1"/>
  <c r="P275" i="1"/>
  <c r="Q275" i="1"/>
  <c r="R275" i="1"/>
  <c r="T275" i="1"/>
  <c r="U275" i="1"/>
  <c r="V275" i="1"/>
  <c r="X275" i="1"/>
  <c r="W275" i="1"/>
  <c r="N276" i="1"/>
  <c r="P276" i="1"/>
  <c r="Q276" i="1"/>
  <c r="R276" i="1"/>
  <c r="T276" i="1"/>
  <c r="U276" i="1"/>
  <c r="V276" i="1"/>
  <c r="X276" i="1"/>
  <c r="W276" i="1"/>
  <c r="N277" i="1"/>
  <c r="P277" i="1"/>
  <c r="Q277" i="1"/>
  <c r="R277" i="1"/>
  <c r="T277" i="1"/>
  <c r="U277" i="1"/>
  <c r="V277" i="1"/>
  <c r="X277" i="1"/>
  <c r="W277" i="1"/>
  <c r="N278" i="1"/>
  <c r="P278" i="1"/>
  <c r="Q278" i="1"/>
  <c r="R278" i="1"/>
  <c r="T278" i="1"/>
  <c r="U278" i="1"/>
  <c r="V278" i="1"/>
  <c r="X278" i="1"/>
  <c r="W278" i="1"/>
  <c r="N279" i="1"/>
  <c r="P279" i="1"/>
  <c r="Q279" i="1"/>
  <c r="R279" i="1"/>
  <c r="T279" i="1"/>
  <c r="U279" i="1"/>
  <c r="V279" i="1"/>
  <c r="X279" i="1"/>
  <c r="W279" i="1"/>
  <c r="N280" i="1"/>
  <c r="P280" i="1"/>
  <c r="Q280" i="1"/>
  <c r="R280" i="1"/>
  <c r="T280" i="1"/>
  <c r="U280" i="1"/>
  <c r="V280" i="1"/>
  <c r="X280" i="1"/>
  <c r="W280" i="1"/>
  <c r="N281" i="1"/>
  <c r="P281" i="1"/>
  <c r="Q281" i="1"/>
  <c r="R281" i="1"/>
  <c r="T281" i="1"/>
  <c r="U281" i="1"/>
  <c r="V281" i="1"/>
  <c r="X281" i="1"/>
  <c r="W281" i="1"/>
  <c r="N282" i="1"/>
  <c r="P282" i="1"/>
  <c r="Q282" i="1"/>
  <c r="R282" i="1"/>
  <c r="T282" i="1"/>
  <c r="U282" i="1"/>
  <c r="V282" i="1"/>
  <c r="X282" i="1"/>
  <c r="W282" i="1"/>
  <c r="N283" i="1"/>
  <c r="P283" i="1"/>
  <c r="Q283" i="1"/>
  <c r="R283" i="1"/>
  <c r="T283" i="1"/>
  <c r="U283" i="1"/>
  <c r="V283" i="1"/>
  <c r="X283" i="1"/>
  <c r="W283" i="1"/>
  <c r="N284" i="1"/>
  <c r="P284" i="1"/>
  <c r="Q284" i="1"/>
  <c r="R284" i="1"/>
  <c r="T284" i="1"/>
  <c r="U284" i="1"/>
  <c r="V284" i="1"/>
  <c r="X284" i="1"/>
  <c r="W284" i="1"/>
  <c r="N285" i="1"/>
  <c r="P285" i="1"/>
  <c r="Q285" i="1"/>
  <c r="R285" i="1"/>
  <c r="T285" i="1"/>
  <c r="U285" i="1"/>
  <c r="V285" i="1"/>
  <c r="X285" i="1"/>
  <c r="W285" i="1"/>
  <c r="N286" i="1"/>
  <c r="P286" i="1"/>
  <c r="Q286" i="1"/>
  <c r="R286" i="1"/>
  <c r="T286" i="1"/>
  <c r="U286" i="1"/>
  <c r="V286" i="1"/>
  <c r="X286" i="1"/>
  <c r="W286" i="1"/>
  <c r="N287" i="1"/>
  <c r="P287" i="1"/>
  <c r="Q287" i="1"/>
  <c r="R287" i="1"/>
  <c r="T287" i="1"/>
  <c r="U287" i="1"/>
  <c r="V287" i="1"/>
  <c r="X287" i="1"/>
  <c r="W287" i="1"/>
  <c r="N288" i="1"/>
  <c r="P288" i="1"/>
  <c r="Q288" i="1"/>
  <c r="R288" i="1"/>
  <c r="T288" i="1"/>
  <c r="U288" i="1"/>
  <c r="V288" i="1"/>
  <c r="X288" i="1"/>
  <c r="W288" i="1"/>
  <c r="N289" i="1"/>
  <c r="P289" i="1"/>
  <c r="Q289" i="1"/>
  <c r="R289" i="1"/>
  <c r="T289" i="1"/>
  <c r="U289" i="1"/>
  <c r="V289" i="1"/>
  <c r="X289" i="1"/>
  <c r="W289" i="1"/>
  <c r="N290" i="1"/>
  <c r="P290" i="1"/>
  <c r="Q290" i="1"/>
  <c r="R290" i="1"/>
  <c r="T290" i="1"/>
  <c r="U290" i="1"/>
  <c r="V290" i="1"/>
  <c r="X290" i="1"/>
  <c r="W290" i="1"/>
  <c r="N291" i="1"/>
  <c r="P291" i="1"/>
  <c r="Q291" i="1"/>
  <c r="R291" i="1"/>
  <c r="T291" i="1"/>
  <c r="U291" i="1"/>
  <c r="V291" i="1"/>
  <c r="X291" i="1"/>
  <c r="W291" i="1"/>
  <c r="N292" i="1"/>
  <c r="P292" i="1"/>
  <c r="Q292" i="1"/>
  <c r="R292" i="1"/>
  <c r="T292" i="1"/>
  <c r="U292" i="1"/>
  <c r="V292" i="1"/>
  <c r="X292" i="1"/>
  <c r="W292" i="1"/>
  <c r="N293" i="1"/>
  <c r="P293" i="1"/>
  <c r="Q293" i="1"/>
  <c r="R293" i="1"/>
  <c r="T293" i="1"/>
  <c r="U293" i="1"/>
  <c r="V293" i="1"/>
  <c r="X293" i="1"/>
  <c r="W293" i="1"/>
  <c r="N294" i="1"/>
  <c r="P294" i="1"/>
  <c r="Q294" i="1"/>
  <c r="R294" i="1"/>
  <c r="T294" i="1"/>
  <c r="U294" i="1"/>
  <c r="V294" i="1"/>
  <c r="X294" i="1"/>
  <c r="W294" i="1"/>
  <c r="N295" i="1"/>
  <c r="P295" i="1"/>
  <c r="Q295" i="1"/>
  <c r="R295" i="1"/>
  <c r="T295" i="1"/>
  <c r="U295" i="1"/>
  <c r="V295" i="1"/>
  <c r="X295" i="1"/>
  <c r="W295" i="1"/>
  <c r="N296" i="1"/>
  <c r="P296" i="1"/>
  <c r="Q296" i="1"/>
  <c r="R296" i="1"/>
  <c r="T296" i="1"/>
  <c r="U296" i="1"/>
  <c r="V296" i="1"/>
  <c r="X296" i="1"/>
  <c r="W296" i="1"/>
  <c r="N297" i="1"/>
  <c r="P297" i="1"/>
  <c r="Q297" i="1"/>
  <c r="R297" i="1"/>
  <c r="T297" i="1"/>
  <c r="U297" i="1"/>
  <c r="V297" i="1"/>
  <c r="X297" i="1"/>
  <c r="W297" i="1"/>
  <c r="N298" i="1"/>
  <c r="P298" i="1"/>
  <c r="Q298" i="1"/>
  <c r="R298" i="1"/>
  <c r="T298" i="1"/>
  <c r="U298" i="1"/>
  <c r="V298" i="1"/>
  <c r="X298" i="1"/>
  <c r="W298" i="1"/>
  <c r="N299" i="1"/>
  <c r="P299" i="1"/>
  <c r="Q299" i="1"/>
  <c r="R299" i="1"/>
  <c r="T299" i="1"/>
  <c r="U299" i="1"/>
  <c r="V299" i="1"/>
  <c r="X299" i="1"/>
  <c r="W299" i="1"/>
  <c r="N300" i="1"/>
  <c r="P300" i="1"/>
  <c r="Q300" i="1"/>
  <c r="R300" i="1"/>
  <c r="T300" i="1"/>
  <c r="U300" i="1"/>
  <c r="V300" i="1"/>
  <c r="X300" i="1"/>
  <c r="W300" i="1"/>
  <c r="N301" i="1"/>
  <c r="P301" i="1"/>
  <c r="Q301" i="1"/>
  <c r="R301" i="1"/>
  <c r="T301" i="1"/>
  <c r="U301" i="1"/>
  <c r="V301" i="1"/>
  <c r="X301" i="1"/>
  <c r="W301" i="1"/>
  <c r="N302" i="1"/>
  <c r="P302" i="1"/>
  <c r="Q302" i="1"/>
  <c r="R302" i="1"/>
  <c r="T302" i="1"/>
  <c r="U302" i="1"/>
  <c r="V302" i="1"/>
  <c r="X302" i="1"/>
  <c r="W302" i="1"/>
  <c r="N303" i="1"/>
  <c r="P303" i="1"/>
  <c r="Q303" i="1"/>
  <c r="R303" i="1"/>
  <c r="T303" i="1"/>
  <c r="U303" i="1"/>
  <c r="V303" i="1"/>
  <c r="X303" i="1"/>
  <c r="W303" i="1"/>
  <c r="N304" i="1"/>
  <c r="P304" i="1"/>
  <c r="Q304" i="1"/>
  <c r="R304" i="1"/>
  <c r="T304" i="1"/>
  <c r="U304" i="1"/>
  <c r="V304" i="1"/>
  <c r="X304" i="1"/>
  <c r="W304" i="1"/>
  <c r="N305" i="1"/>
  <c r="P305" i="1"/>
  <c r="Q305" i="1"/>
  <c r="R305" i="1"/>
  <c r="T305" i="1"/>
  <c r="U305" i="1"/>
  <c r="V305" i="1"/>
  <c r="X305" i="1"/>
  <c r="W305" i="1"/>
  <c r="N306" i="1"/>
  <c r="P306" i="1"/>
  <c r="Q306" i="1"/>
  <c r="R306" i="1"/>
  <c r="T306" i="1"/>
  <c r="U306" i="1"/>
  <c r="V306" i="1"/>
  <c r="X306" i="1"/>
  <c r="W306" i="1"/>
  <c r="N202" i="1"/>
  <c r="P202" i="1"/>
  <c r="Q202" i="1"/>
  <c r="R202" i="1"/>
  <c r="T202" i="1"/>
  <c r="U202" i="1"/>
  <c r="V202" i="1"/>
  <c r="N203" i="1"/>
  <c r="P203" i="1"/>
  <c r="Q203" i="1"/>
  <c r="R203" i="1"/>
  <c r="T203" i="1"/>
  <c r="U203" i="1"/>
  <c r="V203" i="1"/>
  <c r="N204" i="1"/>
  <c r="P204" i="1"/>
  <c r="Q204" i="1"/>
  <c r="R204" i="1"/>
  <c r="T204" i="1"/>
  <c r="U204" i="1"/>
  <c r="V204" i="1"/>
  <c r="N205" i="1"/>
  <c r="P205" i="1"/>
  <c r="Q205" i="1"/>
  <c r="R205" i="1"/>
  <c r="T205" i="1"/>
  <c r="U205" i="1"/>
  <c r="V205" i="1"/>
  <c r="N206" i="1"/>
  <c r="P206" i="1"/>
  <c r="Q206" i="1"/>
  <c r="R206" i="1"/>
  <c r="T206" i="1"/>
  <c r="U206" i="1"/>
  <c r="V206" i="1"/>
  <c r="N207" i="1"/>
  <c r="P207" i="1"/>
  <c r="Q207" i="1"/>
  <c r="R207" i="1"/>
  <c r="T207" i="1"/>
  <c r="U207" i="1"/>
  <c r="V207" i="1"/>
  <c r="N208" i="1"/>
  <c r="P208" i="1"/>
  <c r="Q208" i="1"/>
  <c r="R208" i="1"/>
  <c r="T208" i="1"/>
  <c r="U208" i="1"/>
  <c r="V208" i="1"/>
  <c r="N209" i="1"/>
  <c r="P209" i="1"/>
  <c r="Q209" i="1"/>
  <c r="R209" i="1"/>
  <c r="T209" i="1"/>
  <c r="U209" i="1"/>
  <c r="V209" i="1"/>
  <c r="N210" i="1"/>
  <c r="P210" i="1"/>
  <c r="Q210" i="1"/>
  <c r="R210" i="1"/>
  <c r="T210" i="1"/>
  <c r="U210" i="1"/>
  <c r="V210" i="1"/>
  <c r="N211" i="1"/>
  <c r="P211" i="1"/>
  <c r="Q211" i="1"/>
  <c r="R211" i="1"/>
  <c r="T211" i="1"/>
  <c r="U211" i="1"/>
  <c r="V211" i="1"/>
  <c r="N212" i="1"/>
  <c r="P212" i="1"/>
  <c r="Q212" i="1"/>
  <c r="R212" i="1"/>
  <c r="T212" i="1"/>
  <c r="U212" i="1"/>
  <c r="V212" i="1"/>
  <c r="N213" i="1"/>
  <c r="P213" i="1"/>
  <c r="Q213" i="1"/>
  <c r="R213" i="1"/>
  <c r="T213" i="1"/>
  <c r="U213" i="1"/>
  <c r="V213" i="1"/>
  <c r="N214" i="1"/>
  <c r="P214" i="1"/>
  <c r="Q214" i="1"/>
  <c r="R214" i="1"/>
  <c r="T214" i="1"/>
  <c r="U214" i="1"/>
  <c r="V214" i="1"/>
  <c r="N215" i="1"/>
  <c r="P215" i="1"/>
  <c r="Q215" i="1"/>
  <c r="R215" i="1"/>
  <c r="T215" i="1"/>
  <c r="U215" i="1"/>
  <c r="V215" i="1"/>
  <c r="N216" i="1"/>
  <c r="P216" i="1"/>
  <c r="Q216" i="1"/>
  <c r="R216" i="1"/>
  <c r="T216" i="1"/>
  <c r="U216" i="1"/>
  <c r="V216" i="1"/>
  <c r="N217" i="1"/>
  <c r="P217" i="1"/>
  <c r="Q217" i="1"/>
  <c r="R217" i="1"/>
  <c r="T217" i="1"/>
  <c r="U217" i="1"/>
  <c r="V217" i="1"/>
  <c r="N218" i="1"/>
  <c r="P218" i="1"/>
  <c r="Q218" i="1"/>
  <c r="R218" i="1"/>
  <c r="T218" i="1"/>
  <c r="U218" i="1"/>
  <c r="V218" i="1"/>
  <c r="N219" i="1"/>
  <c r="P219" i="1"/>
  <c r="Q219" i="1"/>
  <c r="R219" i="1"/>
  <c r="T219" i="1"/>
  <c r="U219" i="1"/>
  <c r="V219" i="1"/>
  <c r="N220" i="1"/>
  <c r="P220" i="1"/>
  <c r="Q220" i="1"/>
  <c r="R220" i="1"/>
  <c r="T220" i="1"/>
  <c r="U220" i="1"/>
  <c r="V220" i="1"/>
  <c r="N221" i="1"/>
  <c r="P221" i="1"/>
  <c r="Q221" i="1"/>
  <c r="R221" i="1"/>
  <c r="T221" i="1"/>
  <c r="U221" i="1"/>
  <c r="V221" i="1"/>
  <c r="N222" i="1"/>
  <c r="P222" i="1"/>
  <c r="Q222" i="1"/>
  <c r="R222" i="1"/>
  <c r="T222" i="1"/>
  <c r="U222" i="1"/>
  <c r="V222" i="1"/>
  <c r="N223" i="1"/>
  <c r="P223" i="1"/>
  <c r="Q223" i="1"/>
  <c r="R223" i="1"/>
  <c r="T223" i="1"/>
  <c r="U223" i="1"/>
  <c r="V223" i="1"/>
  <c r="N224" i="1"/>
  <c r="P224" i="1"/>
  <c r="Q224" i="1"/>
  <c r="R224" i="1"/>
  <c r="T224" i="1"/>
  <c r="U224" i="1"/>
  <c r="V224" i="1"/>
  <c r="N225" i="1"/>
  <c r="P225" i="1"/>
  <c r="Q225" i="1"/>
  <c r="R225" i="1"/>
  <c r="T225" i="1"/>
  <c r="U225" i="1"/>
  <c r="V225" i="1"/>
  <c r="N226" i="1"/>
  <c r="P226" i="1"/>
  <c r="Q226" i="1"/>
  <c r="R226" i="1"/>
  <c r="T226" i="1"/>
  <c r="U226" i="1"/>
  <c r="V226" i="1"/>
  <c r="N227" i="1"/>
  <c r="P227" i="1"/>
  <c r="Q227" i="1"/>
  <c r="R227" i="1"/>
  <c r="T227" i="1"/>
  <c r="U227" i="1"/>
  <c r="V227" i="1"/>
  <c r="N228" i="1"/>
  <c r="P228" i="1"/>
  <c r="Q228" i="1"/>
  <c r="R228" i="1"/>
  <c r="T228" i="1"/>
  <c r="U228" i="1"/>
  <c r="V228" i="1"/>
  <c r="N229" i="1"/>
  <c r="P229" i="1"/>
  <c r="Q229" i="1"/>
  <c r="R229" i="1"/>
  <c r="T229" i="1"/>
  <c r="U229" i="1"/>
  <c r="V229" i="1"/>
  <c r="N230" i="1"/>
  <c r="P230" i="1"/>
  <c r="Q230" i="1"/>
  <c r="R230" i="1"/>
  <c r="T230" i="1"/>
  <c r="U230" i="1"/>
  <c r="V230" i="1"/>
  <c r="N231" i="1"/>
  <c r="P231" i="1"/>
  <c r="Q231" i="1"/>
  <c r="R231" i="1"/>
  <c r="T231" i="1"/>
  <c r="U231" i="1"/>
  <c r="V231" i="1"/>
  <c r="N232" i="1"/>
  <c r="P232" i="1"/>
  <c r="Q232" i="1"/>
  <c r="R232" i="1"/>
  <c r="T232" i="1"/>
  <c r="U232" i="1"/>
  <c r="V232" i="1"/>
  <c r="N233" i="1"/>
  <c r="P233" i="1"/>
  <c r="Q233" i="1"/>
  <c r="R233" i="1"/>
  <c r="T233" i="1"/>
  <c r="U233" i="1"/>
  <c r="V233" i="1"/>
  <c r="N234" i="1"/>
  <c r="P234" i="1"/>
  <c r="Q234" i="1"/>
  <c r="R234" i="1"/>
  <c r="T234" i="1"/>
  <c r="U234" i="1"/>
  <c r="V234" i="1"/>
  <c r="X234" i="1"/>
  <c r="W234" i="1"/>
  <c r="N235" i="1"/>
  <c r="P235" i="1"/>
  <c r="Q235" i="1"/>
  <c r="R235" i="1"/>
  <c r="T235" i="1"/>
  <c r="U235" i="1"/>
  <c r="V235" i="1"/>
  <c r="N236" i="1"/>
  <c r="P236" i="1"/>
  <c r="Q236" i="1"/>
  <c r="R236" i="1"/>
  <c r="T236" i="1"/>
  <c r="U236" i="1"/>
  <c r="V236" i="1"/>
  <c r="X236" i="1"/>
  <c r="W236" i="1"/>
  <c r="N237" i="1"/>
  <c r="P237" i="1"/>
  <c r="Q237" i="1"/>
  <c r="R237" i="1"/>
  <c r="T237" i="1"/>
  <c r="U237" i="1"/>
  <c r="V237" i="1"/>
  <c r="N238" i="1"/>
  <c r="P238" i="1"/>
  <c r="Q238" i="1"/>
  <c r="R238" i="1"/>
  <c r="T238" i="1"/>
  <c r="U238" i="1"/>
  <c r="V238" i="1"/>
  <c r="X238" i="1"/>
  <c r="N239" i="1"/>
  <c r="P239" i="1"/>
  <c r="Q239" i="1"/>
  <c r="R239" i="1"/>
  <c r="T239" i="1"/>
  <c r="U239" i="1"/>
  <c r="V239" i="1"/>
  <c r="X233" i="1"/>
  <c r="X235" i="1"/>
  <c r="X237" i="1"/>
  <c r="X239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N190" i="1"/>
  <c r="P190" i="1"/>
  <c r="Q190" i="1"/>
  <c r="R190" i="1"/>
  <c r="T190" i="1"/>
  <c r="U190" i="1"/>
  <c r="V190" i="1"/>
  <c r="X190" i="1"/>
  <c r="W190" i="1"/>
  <c r="Y190" i="1"/>
  <c r="N191" i="1"/>
  <c r="P191" i="1"/>
  <c r="Q191" i="1"/>
  <c r="R191" i="1"/>
  <c r="T191" i="1"/>
  <c r="U191" i="1"/>
  <c r="Y191" i="1"/>
  <c r="V191" i="1"/>
  <c r="X191" i="1"/>
  <c r="W191" i="1"/>
  <c r="N192" i="1"/>
  <c r="P192" i="1"/>
  <c r="Q192" i="1"/>
  <c r="R192" i="1"/>
  <c r="T192" i="1"/>
  <c r="U192" i="1"/>
  <c r="V192" i="1"/>
  <c r="X192" i="1"/>
  <c r="W192" i="1"/>
  <c r="Y192" i="1"/>
  <c r="N193" i="1"/>
  <c r="P193" i="1"/>
  <c r="Q193" i="1"/>
  <c r="R193" i="1"/>
  <c r="T193" i="1"/>
  <c r="U193" i="1"/>
  <c r="Y193" i="1"/>
  <c r="V193" i="1"/>
  <c r="X193" i="1"/>
  <c r="W193" i="1"/>
  <c r="N194" i="1"/>
  <c r="P194" i="1"/>
  <c r="Q194" i="1"/>
  <c r="R194" i="1"/>
  <c r="T194" i="1"/>
  <c r="U194" i="1"/>
  <c r="V194" i="1"/>
  <c r="X194" i="1"/>
  <c r="W194" i="1"/>
  <c r="Y194" i="1"/>
  <c r="N195" i="1"/>
  <c r="P195" i="1"/>
  <c r="Q195" i="1"/>
  <c r="R195" i="1"/>
  <c r="T195" i="1"/>
  <c r="U195" i="1"/>
  <c r="Y195" i="1"/>
  <c r="V195" i="1"/>
  <c r="X195" i="1"/>
  <c r="W195" i="1"/>
  <c r="N196" i="1"/>
  <c r="P196" i="1"/>
  <c r="Q196" i="1"/>
  <c r="R196" i="1"/>
  <c r="T196" i="1"/>
  <c r="U196" i="1"/>
  <c r="V196" i="1"/>
  <c r="X196" i="1"/>
  <c r="W196" i="1"/>
  <c r="Y196" i="1"/>
  <c r="N197" i="1"/>
  <c r="P197" i="1"/>
  <c r="Q197" i="1"/>
  <c r="R197" i="1"/>
  <c r="T197" i="1"/>
  <c r="U197" i="1"/>
  <c r="Y197" i="1"/>
  <c r="V197" i="1"/>
  <c r="X197" i="1"/>
  <c r="W197" i="1"/>
  <c r="N198" i="1"/>
  <c r="P198" i="1"/>
  <c r="Q198" i="1"/>
  <c r="R198" i="1"/>
  <c r="T198" i="1"/>
  <c r="U198" i="1"/>
  <c r="V198" i="1"/>
  <c r="X198" i="1"/>
  <c r="W198" i="1"/>
  <c r="Y198" i="1"/>
  <c r="N199" i="1"/>
  <c r="P199" i="1"/>
  <c r="Q199" i="1"/>
  <c r="R199" i="1"/>
  <c r="T199" i="1"/>
  <c r="U199" i="1"/>
  <c r="Y199" i="1"/>
  <c r="V199" i="1"/>
  <c r="X199" i="1"/>
  <c r="W199" i="1"/>
  <c r="N200" i="1"/>
  <c r="P200" i="1"/>
  <c r="Q200" i="1"/>
  <c r="R200" i="1"/>
  <c r="T200" i="1"/>
  <c r="U200" i="1"/>
  <c r="V200" i="1"/>
  <c r="X200" i="1"/>
  <c r="W200" i="1"/>
  <c r="Y200" i="1"/>
  <c r="N201" i="1"/>
  <c r="P201" i="1"/>
  <c r="Q201" i="1"/>
  <c r="R201" i="1"/>
  <c r="T201" i="1"/>
  <c r="U201" i="1"/>
  <c r="Y201" i="1"/>
  <c r="V201" i="1"/>
  <c r="X201" i="1"/>
  <c r="W201" i="1"/>
  <c r="N180" i="1"/>
  <c r="P180" i="1"/>
  <c r="Q180" i="1"/>
  <c r="R180" i="1"/>
  <c r="T180" i="1"/>
  <c r="U180" i="1"/>
  <c r="V180" i="1"/>
  <c r="X180" i="1"/>
  <c r="W180" i="1"/>
  <c r="Y180" i="1"/>
  <c r="N181" i="1"/>
  <c r="P181" i="1"/>
  <c r="Q181" i="1"/>
  <c r="R181" i="1"/>
  <c r="T181" i="1"/>
  <c r="U181" i="1"/>
  <c r="Y181" i="1"/>
  <c r="V181" i="1"/>
  <c r="X181" i="1"/>
  <c r="W181" i="1"/>
  <c r="N182" i="1"/>
  <c r="P182" i="1"/>
  <c r="Q182" i="1"/>
  <c r="R182" i="1"/>
  <c r="T182" i="1"/>
  <c r="U182" i="1"/>
  <c r="V182" i="1"/>
  <c r="X182" i="1"/>
  <c r="W182" i="1"/>
  <c r="Y182" i="1"/>
  <c r="N183" i="1"/>
  <c r="P183" i="1"/>
  <c r="Q183" i="1"/>
  <c r="R183" i="1"/>
  <c r="T183" i="1"/>
  <c r="U183" i="1"/>
  <c r="Y183" i="1"/>
  <c r="V183" i="1"/>
  <c r="X183" i="1"/>
  <c r="W183" i="1"/>
  <c r="N184" i="1"/>
  <c r="P184" i="1"/>
  <c r="Q184" i="1"/>
  <c r="R184" i="1"/>
  <c r="T184" i="1"/>
  <c r="U184" i="1"/>
  <c r="V184" i="1"/>
  <c r="X184" i="1"/>
  <c r="W184" i="1"/>
  <c r="Y184" i="1"/>
  <c r="N185" i="1"/>
  <c r="P185" i="1"/>
  <c r="Q185" i="1"/>
  <c r="R185" i="1"/>
  <c r="T185" i="1"/>
  <c r="U185" i="1"/>
  <c r="Y185" i="1"/>
  <c r="V185" i="1"/>
  <c r="X185" i="1"/>
  <c r="W185" i="1"/>
  <c r="N186" i="1"/>
  <c r="P186" i="1"/>
  <c r="Q186" i="1"/>
  <c r="R186" i="1"/>
  <c r="T186" i="1"/>
  <c r="U186" i="1"/>
  <c r="V186" i="1"/>
  <c r="X186" i="1"/>
  <c r="W186" i="1"/>
  <c r="Y186" i="1"/>
  <c r="N187" i="1"/>
  <c r="P187" i="1"/>
  <c r="Q187" i="1"/>
  <c r="R187" i="1"/>
  <c r="T187" i="1"/>
  <c r="U187" i="1"/>
  <c r="Y187" i="1"/>
  <c r="V187" i="1"/>
  <c r="X187" i="1"/>
  <c r="W187" i="1"/>
  <c r="N188" i="1"/>
  <c r="P188" i="1"/>
  <c r="Q188" i="1"/>
  <c r="R188" i="1"/>
  <c r="T188" i="1"/>
  <c r="U188" i="1"/>
  <c r="V188" i="1"/>
  <c r="X188" i="1"/>
  <c r="W188" i="1"/>
  <c r="Y188" i="1"/>
  <c r="N189" i="1"/>
  <c r="P189" i="1"/>
  <c r="Q189" i="1"/>
  <c r="R189" i="1"/>
  <c r="T189" i="1"/>
  <c r="U189" i="1"/>
  <c r="Y189" i="1"/>
  <c r="V189" i="1"/>
  <c r="X189" i="1"/>
  <c r="W189" i="1"/>
  <c r="N159" i="1"/>
  <c r="P159" i="1"/>
  <c r="Q159" i="1"/>
  <c r="R159" i="1"/>
  <c r="T159" i="1"/>
  <c r="U159" i="1"/>
  <c r="V159" i="1"/>
  <c r="X159" i="1"/>
  <c r="W159" i="1"/>
  <c r="Y159" i="1"/>
  <c r="N160" i="1"/>
  <c r="P160" i="1"/>
  <c r="Q160" i="1"/>
  <c r="R160" i="1"/>
  <c r="T160" i="1"/>
  <c r="U160" i="1"/>
  <c r="Y160" i="1"/>
  <c r="V160" i="1"/>
  <c r="X160" i="1"/>
  <c r="W160" i="1"/>
  <c r="N161" i="1"/>
  <c r="P161" i="1"/>
  <c r="Q161" i="1"/>
  <c r="R161" i="1"/>
  <c r="T161" i="1"/>
  <c r="U161" i="1"/>
  <c r="V161" i="1"/>
  <c r="X161" i="1"/>
  <c r="W161" i="1"/>
  <c r="Y161" i="1"/>
  <c r="N162" i="1"/>
  <c r="P162" i="1"/>
  <c r="Q162" i="1"/>
  <c r="R162" i="1"/>
  <c r="T162" i="1"/>
  <c r="U162" i="1"/>
  <c r="Y162" i="1"/>
  <c r="V162" i="1"/>
  <c r="X162" i="1"/>
  <c r="W162" i="1"/>
  <c r="N163" i="1"/>
  <c r="P163" i="1"/>
  <c r="Q163" i="1"/>
  <c r="R163" i="1"/>
  <c r="T163" i="1"/>
  <c r="U163" i="1"/>
  <c r="V163" i="1"/>
  <c r="X163" i="1"/>
  <c r="W163" i="1"/>
  <c r="Y163" i="1"/>
  <c r="N164" i="1"/>
  <c r="P164" i="1"/>
  <c r="Q164" i="1"/>
  <c r="R164" i="1"/>
  <c r="T164" i="1"/>
  <c r="U164" i="1"/>
  <c r="Y164" i="1"/>
  <c r="V164" i="1"/>
  <c r="X164" i="1"/>
  <c r="W164" i="1"/>
  <c r="N165" i="1"/>
  <c r="P165" i="1"/>
  <c r="Q165" i="1"/>
  <c r="R165" i="1"/>
  <c r="T165" i="1"/>
  <c r="U165" i="1"/>
  <c r="V165" i="1"/>
  <c r="X165" i="1"/>
  <c r="W165" i="1"/>
  <c r="Y165" i="1"/>
  <c r="N166" i="1"/>
  <c r="P166" i="1"/>
  <c r="Q166" i="1"/>
  <c r="R166" i="1"/>
  <c r="T166" i="1"/>
  <c r="U166" i="1"/>
  <c r="Y166" i="1"/>
  <c r="V166" i="1"/>
  <c r="X166" i="1"/>
  <c r="W166" i="1"/>
  <c r="N167" i="1"/>
  <c r="P167" i="1"/>
  <c r="Q167" i="1"/>
  <c r="R167" i="1"/>
  <c r="T167" i="1"/>
  <c r="U167" i="1"/>
  <c r="V167" i="1"/>
  <c r="X167" i="1"/>
  <c r="W167" i="1"/>
  <c r="Y167" i="1"/>
  <c r="N168" i="1"/>
  <c r="P168" i="1"/>
  <c r="Q168" i="1"/>
  <c r="R168" i="1"/>
  <c r="T168" i="1"/>
  <c r="U168" i="1"/>
  <c r="Y168" i="1"/>
  <c r="V168" i="1"/>
  <c r="X168" i="1"/>
  <c r="W168" i="1"/>
  <c r="N169" i="1"/>
  <c r="P169" i="1"/>
  <c r="Q169" i="1"/>
  <c r="R169" i="1"/>
  <c r="T169" i="1"/>
  <c r="U169" i="1"/>
  <c r="V169" i="1"/>
  <c r="X169" i="1"/>
  <c r="W169" i="1"/>
  <c r="Y169" i="1"/>
  <c r="N170" i="1"/>
  <c r="P170" i="1"/>
  <c r="Q170" i="1"/>
  <c r="R170" i="1"/>
  <c r="T170" i="1"/>
  <c r="U170" i="1"/>
  <c r="Y170" i="1"/>
  <c r="V170" i="1"/>
  <c r="X170" i="1"/>
  <c r="W170" i="1"/>
  <c r="N171" i="1"/>
  <c r="P171" i="1"/>
  <c r="Q171" i="1"/>
  <c r="R171" i="1"/>
  <c r="T171" i="1"/>
  <c r="U171" i="1"/>
  <c r="V171" i="1"/>
  <c r="X171" i="1"/>
  <c r="W171" i="1"/>
  <c r="Y171" i="1"/>
  <c r="N172" i="1"/>
  <c r="P172" i="1"/>
  <c r="Q172" i="1"/>
  <c r="R172" i="1"/>
  <c r="T172" i="1"/>
  <c r="U172" i="1"/>
  <c r="Y172" i="1"/>
  <c r="V172" i="1"/>
  <c r="X172" i="1"/>
  <c r="W172" i="1"/>
  <c r="N173" i="1"/>
  <c r="P173" i="1"/>
  <c r="Q173" i="1"/>
  <c r="R173" i="1"/>
  <c r="T173" i="1"/>
  <c r="U173" i="1"/>
  <c r="V173" i="1"/>
  <c r="X173" i="1"/>
  <c r="W173" i="1"/>
  <c r="Y173" i="1"/>
  <c r="N174" i="1"/>
  <c r="P174" i="1"/>
  <c r="Q174" i="1"/>
  <c r="R174" i="1"/>
  <c r="T174" i="1"/>
  <c r="U174" i="1"/>
  <c r="Y174" i="1"/>
  <c r="V174" i="1"/>
  <c r="X174" i="1"/>
  <c r="W174" i="1"/>
  <c r="N175" i="1"/>
  <c r="P175" i="1"/>
  <c r="Q175" i="1"/>
  <c r="R175" i="1"/>
  <c r="T175" i="1"/>
  <c r="U175" i="1"/>
  <c r="V175" i="1"/>
  <c r="X175" i="1"/>
  <c r="W175" i="1"/>
  <c r="Y175" i="1"/>
  <c r="N176" i="1"/>
  <c r="P176" i="1"/>
  <c r="Q176" i="1"/>
  <c r="R176" i="1"/>
  <c r="T176" i="1"/>
  <c r="U176" i="1"/>
  <c r="Y176" i="1"/>
  <c r="V176" i="1"/>
  <c r="X176" i="1"/>
  <c r="W176" i="1"/>
  <c r="N177" i="1"/>
  <c r="P177" i="1"/>
  <c r="Q177" i="1"/>
  <c r="R177" i="1"/>
  <c r="T177" i="1"/>
  <c r="U177" i="1"/>
  <c r="V177" i="1"/>
  <c r="X177" i="1"/>
  <c r="W177" i="1"/>
  <c r="Y177" i="1"/>
  <c r="N178" i="1"/>
  <c r="P178" i="1"/>
  <c r="Q178" i="1"/>
  <c r="R178" i="1"/>
  <c r="T178" i="1"/>
  <c r="U178" i="1"/>
  <c r="Y178" i="1"/>
  <c r="V178" i="1"/>
  <c r="X178" i="1"/>
  <c r="W178" i="1"/>
  <c r="N179" i="1"/>
  <c r="P179" i="1"/>
  <c r="Q179" i="1"/>
  <c r="R179" i="1"/>
  <c r="T179" i="1"/>
  <c r="U179" i="1"/>
  <c r="V179" i="1"/>
  <c r="X179" i="1"/>
  <c r="W179" i="1"/>
  <c r="Y179" i="1"/>
  <c r="N87" i="1"/>
  <c r="P87" i="1"/>
  <c r="Q87" i="1"/>
  <c r="R87" i="1"/>
  <c r="T87" i="1"/>
  <c r="U87" i="1"/>
  <c r="Y87" i="1"/>
  <c r="V87" i="1"/>
  <c r="X87" i="1"/>
  <c r="W87" i="1"/>
  <c r="N88" i="1"/>
  <c r="P88" i="1"/>
  <c r="Q88" i="1"/>
  <c r="R88" i="1"/>
  <c r="T88" i="1"/>
  <c r="U88" i="1"/>
  <c r="V88" i="1"/>
  <c r="X88" i="1"/>
  <c r="W88" i="1"/>
  <c r="Y88" i="1"/>
  <c r="N89" i="1"/>
  <c r="P89" i="1"/>
  <c r="Q89" i="1"/>
  <c r="R89" i="1"/>
  <c r="T89" i="1"/>
  <c r="U89" i="1"/>
  <c r="Y89" i="1"/>
  <c r="V89" i="1"/>
  <c r="X89" i="1"/>
  <c r="W89" i="1"/>
  <c r="N90" i="1"/>
  <c r="P90" i="1"/>
  <c r="Q90" i="1"/>
  <c r="R90" i="1"/>
  <c r="T90" i="1"/>
  <c r="U90" i="1"/>
  <c r="V90" i="1"/>
  <c r="X90" i="1"/>
  <c r="W90" i="1"/>
  <c r="Y90" i="1"/>
  <c r="N91" i="1"/>
  <c r="P91" i="1"/>
  <c r="Q91" i="1"/>
  <c r="R91" i="1"/>
  <c r="T91" i="1"/>
  <c r="U91" i="1"/>
  <c r="Y91" i="1"/>
  <c r="V91" i="1"/>
  <c r="X91" i="1"/>
  <c r="W91" i="1"/>
  <c r="N92" i="1"/>
  <c r="P92" i="1"/>
  <c r="Q92" i="1"/>
  <c r="R92" i="1"/>
  <c r="T92" i="1"/>
  <c r="U92" i="1"/>
  <c r="V92" i="1"/>
  <c r="X92" i="1"/>
  <c r="W92" i="1"/>
  <c r="Y92" i="1"/>
  <c r="N93" i="1"/>
  <c r="P93" i="1"/>
  <c r="Q93" i="1"/>
  <c r="R93" i="1"/>
  <c r="T93" i="1"/>
  <c r="U93" i="1"/>
  <c r="Y93" i="1"/>
  <c r="V93" i="1"/>
  <c r="X93" i="1"/>
  <c r="W93" i="1"/>
  <c r="N94" i="1"/>
  <c r="P94" i="1"/>
  <c r="Q94" i="1"/>
  <c r="R94" i="1"/>
  <c r="T94" i="1"/>
  <c r="U94" i="1"/>
  <c r="V94" i="1"/>
  <c r="X94" i="1"/>
  <c r="W94" i="1"/>
  <c r="Y94" i="1"/>
  <c r="N95" i="1"/>
  <c r="P95" i="1"/>
  <c r="Q95" i="1"/>
  <c r="R95" i="1"/>
  <c r="T95" i="1"/>
  <c r="U95" i="1"/>
  <c r="Y95" i="1"/>
  <c r="V95" i="1"/>
  <c r="X95" i="1"/>
  <c r="N96" i="1"/>
  <c r="P96" i="1"/>
  <c r="Q96" i="1"/>
  <c r="R96" i="1"/>
  <c r="T96" i="1"/>
  <c r="U96" i="1"/>
  <c r="Y96" i="1"/>
  <c r="V96" i="1"/>
  <c r="X96" i="1"/>
  <c r="W96" i="1"/>
  <c r="N97" i="1"/>
  <c r="P97" i="1"/>
  <c r="Q97" i="1"/>
  <c r="R97" i="1"/>
  <c r="T97" i="1"/>
  <c r="U97" i="1"/>
  <c r="Y97" i="1"/>
  <c r="V97" i="1"/>
  <c r="X97" i="1"/>
  <c r="W97" i="1"/>
  <c r="N98" i="1"/>
  <c r="P98" i="1"/>
  <c r="Q98" i="1"/>
  <c r="R98" i="1"/>
  <c r="T98" i="1"/>
  <c r="U98" i="1"/>
  <c r="Y98" i="1"/>
  <c r="V98" i="1"/>
  <c r="X98" i="1"/>
  <c r="W98" i="1"/>
  <c r="N99" i="1"/>
  <c r="P99" i="1"/>
  <c r="Q99" i="1"/>
  <c r="R99" i="1"/>
  <c r="T99" i="1"/>
  <c r="U99" i="1"/>
  <c r="Y99" i="1"/>
  <c r="V99" i="1"/>
  <c r="X99" i="1"/>
  <c r="W99" i="1"/>
  <c r="N100" i="1"/>
  <c r="P100" i="1"/>
  <c r="Q100" i="1"/>
  <c r="R100" i="1"/>
  <c r="T100" i="1"/>
  <c r="U100" i="1"/>
  <c r="Y100" i="1"/>
  <c r="V100" i="1"/>
  <c r="X100" i="1"/>
  <c r="W100" i="1"/>
  <c r="N101" i="1"/>
  <c r="P101" i="1"/>
  <c r="Q101" i="1"/>
  <c r="R101" i="1"/>
  <c r="T101" i="1"/>
  <c r="U101" i="1"/>
  <c r="Y101" i="1"/>
  <c r="V101" i="1"/>
  <c r="X101" i="1"/>
  <c r="W101" i="1"/>
  <c r="N102" i="1"/>
  <c r="P102" i="1"/>
  <c r="Q102" i="1"/>
  <c r="R102" i="1"/>
  <c r="T102" i="1"/>
  <c r="U102" i="1"/>
  <c r="Y102" i="1"/>
  <c r="V102" i="1"/>
  <c r="X102" i="1"/>
  <c r="W102" i="1"/>
  <c r="N103" i="1"/>
  <c r="P103" i="1"/>
  <c r="Q103" i="1"/>
  <c r="R103" i="1"/>
  <c r="T103" i="1"/>
  <c r="U103" i="1"/>
  <c r="Y103" i="1"/>
  <c r="V103" i="1"/>
  <c r="X103" i="1"/>
  <c r="N104" i="1"/>
  <c r="P104" i="1"/>
  <c r="Q104" i="1"/>
  <c r="R104" i="1"/>
  <c r="T104" i="1"/>
  <c r="U104" i="1"/>
  <c r="Y104" i="1"/>
  <c r="V104" i="1"/>
  <c r="X104" i="1"/>
  <c r="W104" i="1"/>
  <c r="N105" i="1"/>
  <c r="P105" i="1"/>
  <c r="Q105" i="1"/>
  <c r="R105" i="1"/>
  <c r="T105" i="1"/>
  <c r="U105" i="1"/>
  <c r="V105" i="1"/>
  <c r="X105" i="1"/>
  <c r="W105" i="1"/>
  <c r="Y105" i="1"/>
  <c r="N106" i="1"/>
  <c r="P106" i="1"/>
  <c r="Q106" i="1"/>
  <c r="R106" i="1"/>
  <c r="T106" i="1"/>
  <c r="U106" i="1"/>
  <c r="Y106" i="1"/>
  <c r="V106" i="1"/>
  <c r="X106" i="1"/>
  <c r="W106" i="1"/>
  <c r="N107" i="1"/>
  <c r="P107" i="1"/>
  <c r="Q107" i="1"/>
  <c r="R107" i="1"/>
  <c r="T107" i="1"/>
  <c r="U107" i="1"/>
  <c r="V107" i="1"/>
  <c r="X107" i="1"/>
  <c r="W107" i="1"/>
  <c r="Y107" i="1"/>
  <c r="N108" i="1"/>
  <c r="P108" i="1"/>
  <c r="Q108" i="1"/>
  <c r="R108" i="1"/>
  <c r="T108" i="1"/>
  <c r="U108" i="1"/>
  <c r="Y108" i="1"/>
  <c r="V108" i="1"/>
  <c r="X108" i="1"/>
  <c r="W108" i="1"/>
  <c r="N109" i="1"/>
  <c r="P109" i="1"/>
  <c r="Q109" i="1"/>
  <c r="R109" i="1"/>
  <c r="T109" i="1"/>
  <c r="U109" i="1"/>
  <c r="V109" i="1"/>
  <c r="X109" i="1"/>
  <c r="W109" i="1"/>
  <c r="Y109" i="1"/>
  <c r="N110" i="1"/>
  <c r="P110" i="1"/>
  <c r="Q110" i="1"/>
  <c r="R110" i="1"/>
  <c r="T110" i="1"/>
  <c r="U110" i="1"/>
  <c r="Y110" i="1"/>
  <c r="V110" i="1"/>
  <c r="X110" i="1"/>
  <c r="W110" i="1"/>
  <c r="N111" i="1"/>
  <c r="P111" i="1"/>
  <c r="Q111" i="1"/>
  <c r="R111" i="1"/>
  <c r="T111" i="1"/>
  <c r="U111" i="1"/>
  <c r="V111" i="1"/>
  <c r="X111" i="1"/>
  <c r="W111" i="1"/>
  <c r="Y111" i="1"/>
  <c r="N112" i="1"/>
  <c r="P112" i="1"/>
  <c r="Q112" i="1"/>
  <c r="R112" i="1"/>
  <c r="T112" i="1"/>
  <c r="U112" i="1"/>
  <c r="Y112" i="1"/>
  <c r="V112" i="1"/>
  <c r="X112" i="1"/>
  <c r="W112" i="1"/>
  <c r="N113" i="1"/>
  <c r="P113" i="1"/>
  <c r="Q113" i="1"/>
  <c r="R113" i="1"/>
  <c r="T113" i="1"/>
  <c r="U113" i="1"/>
  <c r="V113" i="1"/>
  <c r="X113" i="1"/>
  <c r="W113" i="1"/>
  <c r="Y113" i="1"/>
  <c r="N114" i="1"/>
  <c r="P114" i="1"/>
  <c r="Q114" i="1"/>
  <c r="R114" i="1"/>
  <c r="T114" i="1"/>
  <c r="U114" i="1"/>
  <c r="Y114" i="1"/>
  <c r="V114" i="1"/>
  <c r="X114" i="1"/>
  <c r="W114" i="1"/>
  <c r="N115" i="1"/>
  <c r="P115" i="1"/>
  <c r="Q115" i="1"/>
  <c r="R115" i="1"/>
  <c r="T115" i="1"/>
  <c r="U115" i="1"/>
  <c r="V115" i="1"/>
  <c r="X115" i="1"/>
  <c r="W115" i="1"/>
  <c r="Y115" i="1"/>
  <c r="N116" i="1"/>
  <c r="P116" i="1"/>
  <c r="Q116" i="1"/>
  <c r="R116" i="1"/>
  <c r="T116" i="1"/>
  <c r="U116" i="1"/>
  <c r="Y116" i="1"/>
  <c r="V116" i="1"/>
  <c r="X116" i="1"/>
  <c r="W116" i="1"/>
  <c r="N117" i="1"/>
  <c r="P117" i="1"/>
  <c r="Q117" i="1"/>
  <c r="R117" i="1"/>
  <c r="T117" i="1"/>
  <c r="U117" i="1"/>
  <c r="V117" i="1"/>
  <c r="X117" i="1"/>
  <c r="W117" i="1"/>
  <c r="Y117" i="1"/>
  <c r="N118" i="1"/>
  <c r="P118" i="1"/>
  <c r="Q118" i="1"/>
  <c r="R118" i="1"/>
  <c r="T118" i="1"/>
  <c r="U118" i="1"/>
  <c r="Y118" i="1"/>
  <c r="V118" i="1"/>
  <c r="X118" i="1"/>
  <c r="W118" i="1"/>
  <c r="N119" i="1"/>
  <c r="P119" i="1"/>
  <c r="Q119" i="1"/>
  <c r="R119" i="1"/>
  <c r="T119" i="1"/>
  <c r="U119" i="1"/>
  <c r="V119" i="1"/>
  <c r="X119" i="1"/>
  <c r="W119" i="1"/>
  <c r="Y119" i="1"/>
  <c r="N120" i="1"/>
  <c r="P120" i="1"/>
  <c r="Q120" i="1"/>
  <c r="R120" i="1"/>
  <c r="T120" i="1"/>
  <c r="U120" i="1"/>
  <c r="Y120" i="1"/>
  <c r="V120" i="1"/>
  <c r="X120" i="1"/>
  <c r="W120" i="1"/>
  <c r="N121" i="1"/>
  <c r="P121" i="1"/>
  <c r="Q121" i="1"/>
  <c r="R121" i="1"/>
  <c r="T121" i="1"/>
  <c r="U121" i="1"/>
  <c r="V121" i="1"/>
  <c r="X121" i="1"/>
  <c r="W121" i="1"/>
  <c r="Y121" i="1"/>
  <c r="N122" i="1"/>
  <c r="P122" i="1"/>
  <c r="Q122" i="1"/>
  <c r="R122" i="1"/>
  <c r="T122" i="1"/>
  <c r="U122" i="1"/>
  <c r="Y122" i="1"/>
  <c r="V122" i="1"/>
  <c r="X122" i="1"/>
  <c r="W122" i="1"/>
  <c r="N123" i="1"/>
  <c r="P123" i="1"/>
  <c r="Q123" i="1"/>
  <c r="R123" i="1"/>
  <c r="T123" i="1"/>
  <c r="U123" i="1"/>
  <c r="V123" i="1"/>
  <c r="X123" i="1"/>
  <c r="W123" i="1"/>
  <c r="Y123" i="1"/>
  <c r="N124" i="1"/>
  <c r="P124" i="1"/>
  <c r="Q124" i="1"/>
  <c r="R124" i="1"/>
  <c r="T124" i="1"/>
  <c r="U124" i="1"/>
  <c r="Y124" i="1"/>
  <c r="V124" i="1"/>
  <c r="X124" i="1"/>
  <c r="W124" i="1"/>
  <c r="N125" i="1"/>
  <c r="P125" i="1"/>
  <c r="Q125" i="1"/>
  <c r="R125" i="1"/>
  <c r="T125" i="1"/>
  <c r="U125" i="1"/>
  <c r="V125" i="1"/>
  <c r="X125" i="1"/>
  <c r="W125" i="1"/>
  <c r="Y125" i="1"/>
  <c r="N126" i="1"/>
  <c r="P126" i="1"/>
  <c r="Q126" i="1"/>
  <c r="R126" i="1"/>
  <c r="T126" i="1"/>
  <c r="U126" i="1"/>
  <c r="Y126" i="1"/>
  <c r="V126" i="1"/>
  <c r="X126" i="1"/>
  <c r="W126" i="1"/>
  <c r="N127" i="1"/>
  <c r="P127" i="1"/>
  <c r="Q127" i="1"/>
  <c r="R127" i="1"/>
  <c r="T127" i="1"/>
  <c r="U127" i="1"/>
  <c r="V127" i="1"/>
  <c r="X127" i="1"/>
  <c r="W127" i="1"/>
  <c r="Y127" i="1"/>
  <c r="N128" i="1"/>
  <c r="P128" i="1"/>
  <c r="Q128" i="1"/>
  <c r="R128" i="1"/>
  <c r="T128" i="1"/>
  <c r="U128" i="1"/>
  <c r="V128" i="1"/>
  <c r="X128" i="1"/>
  <c r="W128" i="1"/>
  <c r="Y128" i="1"/>
  <c r="N129" i="1"/>
  <c r="P129" i="1"/>
  <c r="Q129" i="1"/>
  <c r="R129" i="1"/>
  <c r="T129" i="1"/>
  <c r="U129" i="1"/>
  <c r="V129" i="1"/>
  <c r="X129" i="1"/>
  <c r="W129" i="1"/>
  <c r="Y129" i="1"/>
  <c r="N130" i="1"/>
  <c r="P130" i="1"/>
  <c r="Q130" i="1"/>
  <c r="R130" i="1"/>
  <c r="T130" i="1"/>
  <c r="U130" i="1"/>
  <c r="Y130" i="1"/>
  <c r="V130" i="1"/>
  <c r="X130" i="1"/>
  <c r="W130" i="1"/>
  <c r="N131" i="1"/>
  <c r="P131" i="1"/>
  <c r="Q131" i="1"/>
  <c r="R131" i="1"/>
  <c r="T131" i="1"/>
  <c r="U131" i="1"/>
  <c r="V131" i="1"/>
  <c r="X131" i="1"/>
  <c r="W131" i="1"/>
  <c r="Y131" i="1"/>
  <c r="N132" i="1"/>
  <c r="P132" i="1"/>
  <c r="Q132" i="1"/>
  <c r="R132" i="1"/>
  <c r="T132" i="1"/>
  <c r="U132" i="1"/>
  <c r="Y132" i="1"/>
  <c r="V132" i="1"/>
  <c r="X132" i="1"/>
  <c r="W132" i="1"/>
  <c r="N133" i="1"/>
  <c r="P133" i="1"/>
  <c r="Q133" i="1"/>
  <c r="R133" i="1"/>
  <c r="T133" i="1"/>
  <c r="U133" i="1"/>
  <c r="V133" i="1"/>
  <c r="X133" i="1"/>
  <c r="W133" i="1"/>
  <c r="Y133" i="1"/>
  <c r="N134" i="1"/>
  <c r="P134" i="1"/>
  <c r="Q134" i="1"/>
  <c r="R134" i="1"/>
  <c r="T134" i="1"/>
  <c r="U134" i="1"/>
  <c r="Y134" i="1"/>
  <c r="V134" i="1"/>
  <c r="X134" i="1"/>
  <c r="W134" i="1"/>
  <c r="N135" i="1"/>
  <c r="P135" i="1"/>
  <c r="Q135" i="1"/>
  <c r="R135" i="1"/>
  <c r="T135" i="1"/>
  <c r="U135" i="1"/>
  <c r="V135" i="1"/>
  <c r="X135" i="1"/>
  <c r="W135" i="1"/>
  <c r="Y135" i="1"/>
  <c r="N136" i="1"/>
  <c r="P136" i="1"/>
  <c r="Q136" i="1"/>
  <c r="R136" i="1"/>
  <c r="T136" i="1"/>
  <c r="U136" i="1"/>
  <c r="Y136" i="1"/>
  <c r="V136" i="1"/>
  <c r="X136" i="1"/>
  <c r="W136" i="1"/>
  <c r="N137" i="1"/>
  <c r="P137" i="1"/>
  <c r="Q137" i="1"/>
  <c r="R137" i="1"/>
  <c r="T137" i="1"/>
  <c r="U137" i="1"/>
  <c r="V137" i="1"/>
  <c r="X137" i="1"/>
  <c r="W137" i="1"/>
  <c r="Y137" i="1"/>
  <c r="N138" i="1"/>
  <c r="P138" i="1"/>
  <c r="Q138" i="1"/>
  <c r="R138" i="1"/>
  <c r="T138" i="1"/>
  <c r="U138" i="1"/>
  <c r="Y138" i="1"/>
  <c r="V138" i="1"/>
  <c r="X138" i="1"/>
  <c r="W138" i="1"/>
  <c r="N139" i="1"/>
  <c r="P139" i="1"/>
  <c r="Q139" i="1"/>
  <c r="R139" i="1"/>
  <c r="T139" i="1"/>
  <c r="U139" i="1"/>
  <c r="V139" i="1"/>
  <c r="X139" i="1"/>
  <c r="W139" i="1"/>
  <c r="Y139" i="1"/>
  <c r="N140" i="1"/>
  <c r="P140" i="1"/>
  <c r="Q140" i="1"/>
  <c r="R140" i="1"/>
  <c r="T140" i="1"/>
  <c r="U140" i="1"/>
  <c r="Y140" i="1"/>
  <c r="V140" i="1"/>
  <c r="X140" i="1"/>
  <c r="W140" i="1"/>
  <c r="N141" i="1"/>
  <c r="P141" i="1"/>
  <c r="Q141" i="1"/>
  <c r="R141" i="1"/>
  <c r="T141" i="1"/>
  <c r="U141" i="1"/>
  <c r="V141" i="1"/>
  <c r="X141" i="1"/>
  <c r="W141" i="1"/>
  <c r="Y141" i="1"/>
  <c r="N142" i="1"/>
  <c r="P142" i="1"/>
  <c r="Q142" i="1"/>
  <c r="R142" i="1"/>
  <c r="T142" i="1"/>
  <c r="U142" i="1"/>
  <c r="Y142" i="1"/>
  <c r="V142" i="1"/>
  <c r="X142" i="1"/>
  <c r="W142" i="1"/>
  <c r="N143" i="1"/>
  <c r="P143" i="1"/>
  <c r="Q143" i="1"/>
  <c r="R143" i="1"/>
  <c r="T143" i="1"/>
  <c r="U143" i="1"/>
  <c r="V143" i="1"/>
  <c r="X143" i="1"/>
  <c r="W143" i="1"/>
  <c r="Y143" i="1"/>
  <c r="N144" i="1"/>
  <c r="P144" i="1"/>
  <c r="Q144" i="1"/>
  <c r="R144" i="1"/>
  <c r="T144" i="1"/>
  <c r="U144" i="1"/>
  <c r="Y144" i="1"/>
  <c r="V144" i="1"/>
  <c r="X144" i="1"/>
  <c r="W144" i="1"/>
  <c r="N145" i="1"/>
  <c r="P145" i="1"/>
  <c r="Q145" i="1"/>
  <c r="R145" i="1"/>
  <c r="T145" i="1"/>
  <c r="U145" i="1"/>
  <c r="V145" i="1"/>
  <c r="X145" i="1"/>
  <c r="W145" i="1"/>
  <c r="Y145" i="1"/>
  <c r="N146" i="1"/>
  <c r="P146" i="1"/>
  <c r="Q146" i="1"/>
  <c r="R146" i="1"/>
  <c r="T146" i="1"/>
  <c r="U146" i="1"/>
  <c r="Y146" i="1"/>
  <c r="V146" i="1"/>
  <c r="X146" i="1"/>
  <c r="W146" i="1"/>
  <c r="N147" i="1"/>
  <c r="P147" i="1"/>
  <c r="Q147" i="1"/>
  <c r="R147" i="1"/>
  <c r="T147" i="1"/>
  <c r="U147" i="1"/>
  <c r="V147" i="1"/>
  <c r="X147" i="1"/>
  <c r="W147" i="1"/>
  <c r="Y147" i="1"/>
  <c r="N148" i="1"/>
  <c r="P148" i="1"/>
  <c r="Q148" i="1"/>
  <c r="R148" i="1"/>
  <c r="T148" i="1"/>
  <c r="U148" i="1"/>
  <c r="Y148" i="1"/>
  <c r="V148" i="1"/>
  <c r="X148" i="1"/>
  <c r="W148" i="1"/>
  <c r="N149" i="1"/>
  <c r="P149" i="1"/>
  <c r="Q149" i="1"/>
  <c r="R149" i="1"/>
  <c r="T149" i="1"/>
  <c r="U149" i="1"/>
  <c r="V149" i="1"/>
  <c r="X149" i="1"/>
  <c r="W149" i="1"/>
  <c r="Y149" i="1"/>
  <c r="N150" i="1"/>
  <c r="P150" i="1"/>
  <c r="Q150" i="1"/>
  <c r="R150" i="1"/>
  <c r="T150" i="1"/>
  <c r="U150" i="1"/>
  <c r="Y150" i="1"/>
  <c r="V150" i="1"/>
  <c r="X150" i="1"/>
  <c r="W150" i="1"/>
  <c r="N151" i="1"/>
  <c r="P151" i="1"/>
  <c r="Q151" i="1"/>
  <c r="R151" i="1"/>
  <c r="T151" i="1"/>
  <c r="U151" i="1"/>
  <c r="V151" i="1"/>
  <c r="X151" i="1"/>
  <c r="W151" i="1"/>
  <c r="Y151" i="1"/>
  <c r="N152" i="1"/>
  <c r="P152" i="1"/>
  <c r="Q152" i="1"/>
  <c r="R152" i="1"/>
  <c r="T152" i="1"/>
  <c r="U152" i="1"/>
  <c r="Y152" i="1"/>
  <c r="V152" i="1"/>
  <c r="X152" i="1"/>
  <c r="W152" i="1"/>
  <c r="N153" i="1"/>
  <c r="P153" i="1"/>
  <c r="Q153" i="1"/>
  <c r="R153" i="1"/>
  <c r="T153" i="1"/>
  <c r="U153" i="1"/>
  <c r="V153" i="1"/>
  <c r="X153" i="1"/>
  <c r="W153" i="1"/>
  <c r="Y153" i="1"/>
  <c r="N154" i="1"/>
  <c r="P154" i="1"/>
  <c r="Q154" i="1"/>
  <c r="R154" i="1"/>
  <c r="T154" i="1"/>
  <c r="U154" i="1"/>
  <c r="Y154" i="1"/>
  <c r="V154" i="1"/>
  <c r="X154" i="1"/>
  <c r="W154" i="1"/>
  <c r="N155" i="1"/>
  <c r="P155" i="1"/>
  <c r="Q155" i="1"/>
  <c r="R155" i="1"/>
  <c r="T155" i="1"/>
  <c r="U155" i="1"/>
  <c r="V155" i="1"/>
  <c r="X155" i="1"/>
  <c r="W155" i="1"/>
  <c r="Y155" i="1"/>
  <c r="N156" i="1"/>
  <c r="P156" i="1"/>
  <c r="Q156" i="1"/>
  <c r="R156" i="1"/>
  <c r="T156" i="1"/>
  <c r="U156" i="1"/>
  <c r="Y156" i="1"/>
  <c r="V156" i="1"/>
  <c r="X156" i="1"/>
  <c r="W156" i="1"/>
  <c r="N157" i="1"/>
  <c r="P157" i="1"/>
  <c r="Q157" i="1"/>
  <c r="R157" i="1"/>
  <c r="T157" i="1"/>
  <c r="U157" i="1"/>
  <c r="V157" i="1"/>
  <c r="X157" i="1"/>
  <c r="W157" i="1"/>
  <c r="Y157" i="1"/>
  <c r="N158" i="1"/>
  <c r="P158" i="1"/>
  <c r="Q158" i="1"/>
  <c r="R158" i="1"/>
  <c r="T158" i="1"/>
  <c r="U158" i="1"/>
  <c r="Y158" i="1"/>
  <c r="V158" i="1"/>
  <c r="X158" i="1"/>
  <c r="W158" i="1"/>
  <c r="N63" i="1"/>
  <c r="P63" i="1"/>
  <c r="Q63" i="1"/>
  <c r="R63" i="1"/>
  <c r="T63" i="1"/>
  <c r="U63" i="1"/>
  <c r="Y63" i="1"/>
  <c r="V63" i="1"/>
  <c r="X63" i="1"/>
  <c r="W63" i="1"/>
  <c r="N64" i="1"/>
  <c r="P64" i="1"/>
  <c r="Q64" i="1"/>
  <c r="R64" i="1"/>
  <c r="T64" i="1"/>
  <c r="U64" i="1"/>
  <c r="V64" i="1"/>
  <c r="X64" i="1"/>
  <c r="W64" i="1"/>
  <c r="Y64" i="1"/>
  <c r="N65" i="1"/>
  <c r="P65" i="1"/>
  <c r="Q65" i="1"/>
  <c r="R65" i="1"/>
  <c r="T65" i="1"/>
  <c r="U65" i="1"/>
  <c r="Y65" i="1"/>
  <c r="V65" i="1"/>
  <c r="X65" i="1"/>
  <c r="W65" i="1"/>
  <c r="N66" i="1"/>
  <c r="P66" i="1"/>
  <c r="Q66" i="1"/>
  <c r="R66" i="1"/>
  <c r="T66" i="1"/>
  <c r="U66" i="1"/>
  <c r="V66" i="1"/>
  <c r="X66" i="1"/>
  <c r="W66" i="1"/>
  <c r="Y66" i="1"/>
  <c r="N67" i="1"/>
  <c r="P67" i="1"/>
  <c r="Q67" i="1"/>
  <c r="R67" i="1"/>
  <c r="T67" i="1"/>
  <c r="U67" i="1"/>
  <c r="Y67" i="1"/>
  <c r="V67" i="1"/>
  <c r="X67" i="1"/>
  <c r="W67" i="1"/>
  <c r="N68" i="1"/>
  <c r="P68" i="1"/>
  <c r="Q68" i="1"/>
  <c r="R68" i="1"/>
  <c r="T68" i="1"/>
  <c r="U68" i="1"/>
  <c r="V68" i="1"/>
  <c r="X68" i="1"/>
  <c r="W68" i="1"/>
  <c r="Y68" i="1"/>
  <c r="N69" i="1"/>
  <c r="P69" i="1"/>
  <c r="Q69" i="1"/>
  <c r="R69" i="1"/>
  <c r="T69" i="1"/>
  <c r="U69" i="1"/>
  <c r="Y69" i="1"/>
  <c r="V69" i="1"/>
  <c r="X69" i="1"/>
  <c r="W69" i="1"/>
  <c r="N70" i="1"/>
  <c r="P70" i="1"/>
  <c r="Q70" i="1"/>
  <c r="R70" i="1"/>
  <c r="T70" i="1"/>
  <c r="U70" i="1"/>
  <c r="V70" i="1"/>
  <c r="X70" i="1"/>
  <c r="W70" i="1"/>
  <c r="Y70" i="1"/>
  <c r="N71" i="1"/>
  <c r="P71" i="1"/>
  <c r="Q71" i="1"/>
  <c r="R71" i="1"/>
  <c r="T71" i="1"/>
  <c r="U71" i="1"/>
  <c r="Y71" i="1"/>
  <c r="V71" i="1"/>
  <c r="X71" i="1"/>
  <c r="W71" i="1"/>
  <c r="N72" i="1"/>
  <c r="P72" i="1"/>
  <c r="Q72" i="1"/>
  <c r="R72" i="1"/>
  <c r="T72" i="1"/>
  <c r="U72" i="1"/>
  <c r="V72" i="1"/>
  <c r="X72" i="1"/>
  <c r="W72" i="1"/>
  <c r="Y72" i="1"/>
  <c r="N73" i="1"/>
  <c r="P73" i="1"/>
  <c r="Q73" i="1"/>
  <c r="R73" i="1"/>
  <c r="T73" i="1"/>
  <c r="U73" i="1"/>
  <c r="Y73" i="1"/>
  <c r="V73" i="1"/>
  <c r="X73" i="1"/>
  <c r="W73" i="1"/>
  <c r="N74" i="1"/>
  <c r="P74" i="1"/>
  <c r="Q74" i="1"/>
  <c r="R74" i="1"/>
  <c r="T74" i="1"/>
  <c r="U74" i="1"/>
  <c r="V74" i="1"/>
  <c r="X74" i="1"/>
  <c r="W74" i="1"/>
  <c r="Y74" i="1"/>
  <c r="N75" i="1"/>
  <c r="P75" i="1"/>
  <c r="Q75" i="1"/>
  <c r="R75" i="1"/>
  <c r="T75" i="1"/>
  <c r="U75" i="1"/>
  <c r="Y75" i="1"/>
  <c r="V75" i="1"/>
  <c r="X75" i="1"/>
  <c r="W75" i="1"/>
  <c r="N76" i="1"/>
  <c r="P76" i="1"/>
  <c r="Q76" i="1"/>
  <c r="R76" i="1"/>
  <c r="T76" i="1"/>
  <c r="U76" i="1"/>
  <c r="V76" i="1"/>
  <c r="X76" i="1"/>
  <c r="W76" i="1"/>
  <c r="Y76" i="1"/>
  <c r="N77" i="1"/>
  <c r="P77" i="1"/>
  <c r="Q77" i="1"/>
  <c r="R77" i="1"/>
  <c r="T77" i="1"/>
  <c r="U77" i="1"/>
  <c r="Y77" i="1"/>
  <c r="V77" i="1"/>
  <c r="X77" i="1"/>
  <c r="W77" i="1"/>
  <c r="N78" i="1"/>
  <c r="P78" i="1"/>
  <c r="Q78" i="1"/>
  <c r="R78" i="1"/>
  <c r="T78" i="1"/>
  <c r="U78" i="1"/>
  <c r="V78" i="1"/>
  <c r="X78" i="1"/>
  <c r="W78" i="1"/>
  <c r="Y78" i="1"/>
  <c r="N79" i="1"/>
  <c r="P79" i="1"/>
  <c r="Q79" i="1"/>
  <c r="R79" i="1"/>
  <c r="T79" i="1"/>
  <c r="U79" i="1"/>
  <c r="Y79" i="1"/>
  <c r="V79" i="1"/>
  <c r="X79" i="1"/>
  <c r="W79" i="1"/>
  <c r="N80" i="1"/>
  <c r="P80" i="1"/>
  <c r="Q80" i="1"/>
  <c r="R80" i="1"/>
  <c r="T80" i="1"/>
  <c r="U80" i="1"/>
  <c r="Y80" i="1"/>
  <c r="V80" i="1"/>
  <c r="X80" i="1"/>
  <c r="W80" i="1"/>
  <c r="N81" i="1"/>
  <c r="P81" i="1"/>
  <c r="Q81" i="1"/>
  <c r="R81" i="1"/>
  <c r="T81" i="1"/>
  <c r="U81" i="1"/>
  <c r="Y81" i="1"/>
  <c r="V81" i="1"/>
  <c r="X81" i="1"/>
  <c r="W81" i="1"/>
  <c r="N82" i="1"/>
  <c r="P82" i="1"/>
  <c r="Q82" i="1"/>
  <c r="R82" i="1"/>
  <c r="T82" i="1"/>
  <c r="U82" i="1"/>
  <c r="Y82" i="1"/>
  <c r="V82" i="1"/>
  <c r="X82" i="1"/>
  <c r="W82" i="1"/>
  <c r="N83" i="1"/>
  <c r="P83" i="1"/>
  <c r="Q83" i="1"/>
  <c r="R83" i="1"/>
  <c r="T83" i="1"/>
  <c r="U83" i="1"/>
  <c r="Y83" i="1"/>
  <c r="V83" i="1"/>
  <c r="X83" i="1"/>
  <c r="W83" i="1"/>
  <c r="N84" i="1"/>
  <c r="P84" i="1"/>
  <c r="Q84" i="1"/>
  <c r="R84" i="1"/>
  <c r="T84" i="1"/>
  <c r="U84" i="1"/>
  <c r="Y84" i="1"/>
  <c r="V84" i="1"/>
  <c r="X84" i="1"/>
  <c r="W84" i="1"/>
  <c r="N85" i="1"/>
  <c r="P85" i="1"/>
  <c r="Q85" i="1"/>
  <c r="R85" i="1"/>
  <c r="T85" i="1"/>
  <c r="U85" i="1"/>
  <c r="Y85" i="1"/>
  <c r="V85" i="1"/>
  <c r="X85" i="1"/>
  <c r="W85" i="1"/>
  <c r="N86" i="1"/>
  <c r="P86" i="1"/>
  <c r="Q86" i="1"/>
  <c r="R86" i="1"/>
  <c r="T86" i="1"/>
  <c r="U86" i="1"/>
  <c r="Y86" i="1"/>
  <c r="V86" i="1"/>
  <c r="X86" i="1"/>
  <c r="W86" i="1"/>
  <c r="N21" i="1"/>
  <c r="P21" i="1"/>
  <c r="Q21" i="1"/>
  <c r="R21" i="1"/>
  <c r="T21" i="1"/>
  <c r="U21" i="1"/>
  <c r="Y21" i="1"/>
  <c r="V21" i="1"/>
  <c r="X21" i="1"/>
  <c r="W21" i="1"/>
  <c r="N22" i="1"/>
  <c r="P22" i="1"/>
  <c r="Q22" i="1"/>
  <c r="R22" i="1"/>
  <c r="T22" i="1"/>
  <c r="U22" i="1"/>
  <c r="Y22" i="1"/>
  <c r="V22" i="1"/>
  <c r="X22" i="1"/>
  <c r="W22" i="1"/>
  <c r="N23" i="1"/>
  <c r="P23" i="1"/>
  <c r="Q23" i="1"/>
  <c r="R23" i="1"/>
  <c r="T23" i="1"/>
  <c r="U23" i="1"/>
  <c r="Y23" i="1"/>
  <c r="V23" i="1"/>
  <c r="X23" i="1"/>
  <c r="W23" i="1"/>
  <c r="N24" i="1"/>
  <c r="P24" i="1"/>
  <c r="Q24" i="1"/>
  <c r="R24" i="1"/>
  <c r="T24" i="1"/>
  <c r="U24" i="1"/>
  <c r="Y24" i="1"/>
  <c r="V24" i="1"/>
  <c r="X24" i="1"/>
  <c r="W24" i="1"/>
  <c r="N25" i="1"/>
  <c r="P25" i="1"/>
  <c r="Q25" i="1"/>
  <c r="R25" i="1"/>
  <c r="T25" i="1"/>
  <c r="U25" i="1"/>
  <c r="Y25" i="1"/>
  <c r="V25" i="1"/>
  <c r="X25" i="1"/>
  <c r="W25" i="1"/>
  <c r="N26" i="1"/>
  <c r="P26" i="1"/>
  <c r="Q26" i="1"/>
  <c r="R26" i="1"/>
  <c r="T26" i="1"/>
  <c r="U26" i="1"/>
  <c r="Y26" i="1"/>
  <c r="V26" i="1"/>
  <c r="X26" i="1"/>
  <c r="W26" i="1"/>
  <c r="N27" i="1"/>
  <c r="P27" i="1"/>
  <c r="Q27" i="1"/>
  <c r="R27" i="1"/>
  <c r="T27" i="1"/>
  <c r="U27" i="1"/>
  <c r="Y27" i="1"/>
  <c r="V27" i="1"/>
  <c r="X27" i="1"/>
  <c r="W27" i="1"/>
  <c r="N28" i="1"/>
  <c r="P28" i="1"/>
  <c r="Q28" i="1"/>
  <c r="R28" i="1"/>
  <c r="T28" i="1"/>
  <c r="U28" i="1"/>
  <c r="Y28" i="1"/>
  <c r="V28" i="1"/>
  <c r="X28" i="1"/>
  <c r="W28" i="1"/>
  <c r="N29" i="1"/>
  <c r="P29" i="1"/>
  <c r="Q29" i="1"/>
  <c r="R29" i="1"/>
  <c r="T29" i="1"/>
  <c r="U29" i="1"/>
  <c r="Y29" i="1"/>
  <c r="V29" i="1"/>
  <c r="X29" i="1"/>
  <c r="W29" i="1"/>
  <c r="N30" i="1"/>
  <c r="P30" i="1"/>
  <c r="Q30" i="1"/>
  <c r="R30" i="1"/>
  <c r="T30" i="1"/>
  <c r="U30" i="1"/>
  <c r="V30" i="1"/>
  <c r="X30" i="1"/>
  <c r="W30" i="1"/>
  <c r="Y30" i="1"/>
  <c r="N31" i="1"/>
  <c r="P31" i="1"/>
  <c r="Q31" i="1"/>
  <c r="R31" i="1"/>
  <c r="T31" i="1"/>
  <c r="U31" i="1"/>
  <c r="Y31" i="1"/>
  <c r="V31" i="1"/>
  <c r="X31" i="1"/>
  <c r="W31" i="1"/>
  <c r="N32" i="1"/>
  <c r="P32" i="1"/>
  <c r="Q32" i="1"/>
  <c r="R32" i="1"/>
  <c r="T32" i="1"/>
  <c r="U32" i="1"/>
  <c r="V32" i="1"/>
  <c r="X32" i="1"/>
  <c r="W32" i="1"/>
  <c r="Y32" i="1"/>
  <c r="N33" i="1"/>
  <c r="P33" i="1"/>
  <c r="Q33" i="1"/>
  <c r="R33" i="1"/>
  <c r="T33" i="1"/>
  <c r="U33" i="1"/>
  <c r="Y33" i="1"/>
  <c r="V33" i="1"/>
  <c r="X33" i="1"/>
  <c r="W33" i="1"/>
  <c r="N34" i="1"/>
  <c r="P34" i="1"/>
  <c r="Q34" i="1"/>
  <c r="R34" i="1"/>
  <c r="T34" i="1"/>
  <c r="U34" i="1"/>
  <c r="Y34" i="1"/>
  <c r="V34" i="1"/>
  <c r="X34" i="1"/>
  <c r="W34" i="1"/>
  <c r="N35" i="1"/>
  <c r="P35" i="1"/>
  <c r="Q35" i="1"/>
  <c r="R35" i="1"/>
  <c r="T35" i="1"/>
  <c r="U35" i="1"/>
  <c r="Y35" i="1"/>
  <c r="V35" i="1"/>
  <c r="X35" i="1"/>
  <c r="W35" i="1"/>
  <c r="N36" i="1"/>
  <c r="P36" i="1"/>
  <c r="Q36" i="1"/>
  <c r="R36" i="1"/>
  <c r="T36" i="1"/>
  <c r="U36" i="1"/>
  <c r="Y36" i="1"/>
  <c r="V36" i="1"/>
  <c r="X36" i="1"/>
  <c r="W36" i="1"/>
  <c r="N37" i="1"/>
  <c r="P37" i="1"/>
  <c r="Q37" i="1"/>
  <c r="R37" i="1"/>
  <c r="T37" i="1"/>
  <c r="U37" i="1"/>
  <c r="Y37" i="1"/>
  <c r="V37" i="1"/>
  <c r="X37" i="1"/>
  <c r="W37" i="1"/>
  <c r="N38" i="1"/>
  <c r="P38" i="1"/>
  <c r="Q38" i="1"/>
  <c r="R38" i="1"/>
  <c r="T38" i="1"/>
  <c r="U38" i="1"/>
  <c r="V38" i="1"/>
  <c r="X38" i="1"/>
  <c r="W38" i="1"/>
  <c r="Y38" i="1"/>
  <c r="N39" i="1"/>
  <c r="P39" i="1"/>
  <c r="Q39" i="1"/>
  <c r="R39" i="1"/>
  <c r="T39" i="1"/>
  <c r="U39" i="1"/>
  <c r="Y39" i="1"/>
  <c r="V39" i="1"/>
  <c r="X39" i="1"/>
  <c r="W39" i="1"/>
  <c r="N40" i="1"/>
  <c r="P40" i="1"/>
  <c r="Q40" i="1"/>
  <c r="R40" i="1"/>
  <c r="T40" i="1"/>
  <c r="U40" i="1"/>
  <c r="V40" i="1"/>
  <c r="X40" i="1"/>
  <c r="W40" i="1"/>
  <c r="Y40" i="1"/>
  <c r="N41" i="1"/>
  <c r="P41" i="1"/>
  <c r="Q41" i="1"/>
  <c r="R41" i="1"/>
  <c r="T41" i="1"/>
  <c r="U41" i="1"/>
  <c r="Y41" i="1"/>
  <c r="V41" i="1"/>
  <c r="X41" i="1"/>
  <c r="N42" i="1"/>
  <c r="P42" i="1"/>
  <c r="Q42" i="1"/>
  <c r="R42" i="1"/>
  <c r="T42" i="1"/>
  <c r="U42" i="1"/>
  <c r="Y42" i="1"/>
  <c r="V42" i="1"/>
  <c r="X42" i="1"/>
  <c r="W42" i="1"/>
  <c r="N43" i="1"/>
  <c r="P43" i="1"/>
  <c r="Q43" i="1"/>
  <c r="R43" i="1"/>
  <c r="T43" i="1"/>
  <c r="U43" i="1"/>
  <c r="Y43" i="1"/>
  <c r="V43" i="1"/>
  <c r="X43" i="1"/>
  <c r="W43" i="1"/>
  <c r="N44" i="1"/>
  <c r="P44" i="1"/>
  <c r="Q44" i="1"/>
  <c r="R44" i="1"/>
  <c r="T44" i="1"/>
  <c r="U44" i="1"/>
  <c r="Y44" i="1"/>
  <c r="V44" i="1"/>
  <c r="X44" i="1"/>
  <c r="W44" i="1"/>
  <c r="N45" i="1"/>
  <c r="P45" i="1"/>
  <c r="Q45" i="1"/>
  <c r="R45" i="1"/>
  <c r="T45" i="1"/>
  <c r="U45" i="1"/>
  <c r="Y45" i="1"/>
  <c r="V45" i="1"/>
  <c r="X45" i="1"/>
  <c r="W45" i="1"/>
  <c r="N46" i="1"/>
  <c r="P46" i="1"/>
  <c r="Q46" i="1"/>
  <c r="R46" i="1"/>
  <c r="T46" i="1"/>
  <c r="U46" i="1"/>
  <c r="V46" i="1"/>
  <c r="X46" i="1"/>
  <c r="W46" i="1"/>
  <c r="Y46" i="1"/>
  <c r="N47" i="1"/>
  <c r="P47" i="1"/>
  <c r="Q47" i="1"/>
  <c r="R47" i="1"/>
  <c r="T47" i="1"/>
  <c r="U47" i="1"/>
  <c r="Y47" i="1"/>
  <c r="V47" i="1"/>
  <c r="X47" i="1"/>
  <c r="W47" i="1"/>
  <c r="N48" i="1"/>
  <c r="P48" i="1"/>
  <c r="Q48" i="1"/>
  <c r="R48" i="1"/>
  <c r="T48" i="1"/>
  <c r="U48" i="1"/>
  <c r="V48" i="1"/>
  <c r="X48" i="1"/>
  <c r="W48" i="1"/>
  <c r="Y48" i="1"/>
  <c r="N49" i="1"/>
  <c r="P49" i="1"/>
  <c r="Q49" i="1"/>
  <c r="R49" i="1"/>
  <c r="T49" i="1"/>
  <c r="U49" i="1"/>
  <c r="Y49" i="1"/>
  <c r="V49" i="1"/>
  <c r="X49" i="1"/>
  <c r="W49" i="1"/>
  <c r="N50" i="1"/>
  <c r="P50" i="1"/>
  <c r="Q50" i="1"/>
  <c r="R50" i="1"/>
  <c r="T50" i="1"/>
  <c r="U50" i="1"/>
  <c r="Y50" i="1"/>
  <c r="V50" i="1"/>
  <c r="X50" i="1"/>
  <c r="W50" i="1"/>
  <c r="N51" i="1"/>
  <c r="P51" i="1"/>
  <c r="Q51" i="1"/>
  <c r="R51" i="1"/>
  <c r="T51" i="1"/>
  <c r="U51" i="1"/>
  <c r="Y51" i="1"/>
  <c r="V51" i="1"/>
  <c r="X51" i="1"/>
  <c r="W51" i="1"/>
  <c r="N52" i="1"/>
  <c r="P52" i="1"/>
  <c r="Q52" i="1"/>
  <c r="R52" i="1"/>
  <c r="T52" i="1"/>
  <c r="U52" i="1"/>
  <c r="Y52" i="1"/>
  <c r="V52" i="1"/>
  <c r="X52" i="1"/>
  <c r="W52" i="1"/>
  <c r="N53" i="1"/>
  <c r="P53" i="1"/>
  <c r="Q53" i="1"/>
  <c r="R53" i="1"/>
  <c r="T53" i="1"/>
  <c r="U53" i="1"/>
  <c r="Y53" i="1"/>
  <c r="V53" i="1"/>
  <c r="X53" i="1"/>
  <c r="W53" i="1"/>
  <c r="N54" i="1"/>
  <c r="P54" i="1"/>
  <c r="Q54" i="1"/>
  <c r="R54" i="1"/>
  <c r="T54" i="1"/>
  <c r="U54" i="1"/>
  <c r="V54" i="1"/>
  <c r="X54" i="1"/>
  <c r="W54" i="1"/>
  <c r="Y54" i="1"/>
  <c r="N55" i="1"/>
  <c r="P55" i="1"/>
  <c r="Q55" i="1"/>
  <c r="R55" i="1"/>
  <c r="T55" i="1"/>
  <c r="U55" i="1"/>
  <c r="Y55" i="1"/>
  <c r="V55" i="1"/>
  <c r="X55" i="1"/>
  <c r="W55" i="1"/>
  <c r="N56" i="1"/>
  <c r="P56" i="1"/>
  <c r="Q56" i="1"/>
  <c r="R56" i="1"/>
  <c r="T56" i="1"/>
  <c r="U56" i="1"/>
  <c r="V56" i="1"/>
  <c r="X56" i="1"/>
  <c r="W56" i="1"/>
  <c r="Y56" i="1"/>
  <c r="N57" i="1"/>
  <c r="P57" i="1"/>
  <c r="Q57" i="1"/>
  <c r="R57" i="1"/>
  <c r="T57" i="1"/>
  <c r="U57" i="1"/>
  <c r="Y57" i="1"/>
  <c r="V57" i="1"/>
  <c r="X57" i="1"/>
  <c r="W57" i="1"/>
  <c r="N58" i="1"/>
  <c r="P58" i="1"/>
  <c r="Q58" i="1"/>
  <c r="R58" i="1"/>
  <c r="T58" i="1"/>
  <c r="U58" i="1"/>
  <c r="Y58" i="1"/>
  <c r="V58" i="1"/>
  <c r="X58" i="1"/>
  <c r="W58" i="1"/>
  <c r="N59" i="1"/>
  <c r="P59" i="1"/>
  <c r="Q59" i="1"/>
  <c r="R59" i="1"/>
  <c r="T59" i="1"/>
  <c r="U59" i="1"/>
  <c r="Y59" i="1"/>
  <c r="V59" i="1"/>
  <c r="X59" i="1"/>
  <c r="W59" i="1"/>
  <c r="N60" i="1"/>
  <c r="P60" i="1"/>
  <c r="Q60" i="1"/>
  <c r="R60" i="1"/>
  <c r="T60" i="1"/>
  <c r="U60" i="1"/>
  <c r="Y60" i="1"/>
  <c r="V60" i="1"/>
  <c r="X60" i="1"/>
  <c r="W60" i="1"/>
  <c r="N61" i="1"/>
  <c r="P61" i="1"/>
  <c r="Q61" i="1"/>
  <c r="R61" i="1"/>
  <c r="T61" i="1"/>
  <c r="U61" i="1"/>
  <c r="Y61" i="1"/>
  <c r="V61" i="1"/>
  <c r="X61" i="1"/>
  <c r="W61" i="1"/>
  <c r="N62" i="1"/>
  <c r="P62" i="1"/>
  <c r="Q62" i="1"/>
  <c r="R62" i="1"/>
  <c r="T62" i="1"/>
  <c r="U62" i="1"/>
  <c r="V62" i="1"/>
  <c r="X62" i="1"/>
  <c r="W62" i="1"/>
  <c r="Y6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X10" i="1"/>
  <c r="W10" i="1"/>
  <c r="X12" i="1"/>
  <c r="W12" i="1"/>
  <c r="X14" i="1"/>
  <c r="W14" i="1"/>
  <c r="X16" i="1"/>
  <c r="W16" i="1"/>
  <c r="X18" i="1"/>
  <c r="W18" i="1"/>
  <c r="X20" i="1"/>
  <c r="W2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" i="1"/>
  <c r="AB2" i="1"/>
  <c r="X2" i="1"/>
  <c r="W2" i="1"/>
  <c r="P2" i="1"/>
  <c r="R3" i="1"/>
  <c r="T3" i="1"/>
  <c r="R4" i="1"/>
  <c r="T4" i="1"/>
  <c r="R5" i="1"/>
  <c r="T5" i="1"/>
  <c r="R6" i="1"/>
  <c r="T6" i="1"/>
  <c r="R7" i="1"/>
  <c r="T7" i="1"/>
  <c r="R8" i="1"/>
  <c r="T8" i="1"/>
  <c r="R9" i="1"/>
  <c r="T9" i="1"/>
  <c r="R10" i="1"/>
  <c r="T10" i="1"/>
  <c r="R11" i="1"/>
  <c r="T11" i="1"/>
  <c r="R12" i="1"/>
  <c r="T12" i="1"/>
  <c r="R13" i="1"/>
  <c r="T13" i="1"/>
  <c r="R14" i="1"/>
  <c r="T14" i="1"/>
  <c r="R15" i="1"/>
  <c r="T15" i="1"/>
  <c r="R16" i="1"/>
  <c r="T16" i="1"/>
  <c r="R17" i="1"/>
  <c r="T17" i="1"/>
  <c r="R18" i="1"/>
  <c r="T18" i="1"/>
  <c r="R19" i="1"/>
  <c r="T19" i="1"/>
  <c r="R20" i="1"/>
  <c r="T20" i="1"/>
  <c r="V4" i="1"/>
  <c r="V12" i="1"/>
  <c r="V20" i="1"/>
  <c r="N3" i="1"/>
  <c r="U3" i="1"/>
  <c r="Y3" i="1"/>
  <c r="V3" i="1"/>
  <c r="N4" i="1"/>
  <c r="U4" i="1"/>
  <c r="Y4" i="1"/>
  <c r="N5" i="1"/>
  <c r="U5" i="1"/>
  <c r="Y5" i="1"/>
  <c r="V5" i="1"/>
  <c r="N6" i="1"/>
  <c r="U6" i="1"/>
  <c r="Y6" i="1"/>
  <c r="V6" i="1"/>
  <c r="N7" i="1"/>
  <c r="U7" i="1"/>
  <c r="Y7" i="1"/>
  <c r="V7" i="1"/>
  <c r="U8" i="1"/>
  <c r="Y8" i="1"/>
  <c r="U9" i="1"/>
  <c r="Y9" i="1"/>
  <c r="U10" i="1"/>
  <c r="U11" i="1"/>
  <c r="Y11" i="1"/>
  <c r="U12" i="1"/>
  <c r="U13" i="1"/>
  <c r="Y13" i="1"/>
  <c r="U14" i="1"/>
  <c r="Y14" i="1"/>
  <c r="U15" i="1"/>
  <c r="Y15" i="1"/>
  <c r="U16" i="1"/>
  <c r="U17" i="1"/>
  <c r="Y17" i="1"/>
  <c r="U18" i="1"/>
  <c r="Y18" i="1"/>
  <c r="U19" i="1"/>
  <c r="Y19" i="1"/>
  <c r="U20" i="1"/>
  <c r="Y10" i="1"/>
  <c r="Y12" i="1"/>
  <c r="Y16" i="1"/>
  <c r="Y20" i="1"/>
  <c r="U2" i="1"/>
  <c r="Y2" i="1"/>
  <c r="Z2" i="1"/>
  <c r="V8" i="1"/>
  <c r="V9" i="1"/>
  <c r="V10" i="1"/>
  <c r="V11" i="1"/>
  <c r="V13" i="1"/>
  <c r="V14" i="1"/>
  <c r="V15" i="1"/>
  <c r="V16" i="1"/>
  <c r="V17" i="1"/>
  <c r="V18" i="1"/>
  <c r="V19" i="1"/>
  <c r="V2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" i="1"/>
  <c r="T2" i="1"/>
  <c r="R2" i="1"/>
  <c r="X19" i="1"/>
  <c r="W19" i="1"/>
  <c r="X17" i="1"/>
  <c r="W17" i="1"/>
  <c r="X15" i="1"/>
  <c r="W15" i="1"/>
  <c r="X13" i="1"/>
  <c r="W13" i="1"/>
  <c r="X11" i="1"/>
  <c r="W11" i="1"/>
  <c r="X9" i="1"/>
  <c r="W9" i="1"/>
  <c r="X7" i="1"/>
  <c r="W7" i="1"/>
  <c r="X5" i="1"/>
  <c r="W5" i="1"/>
  <c r="X3" i="1"/>
  <c r="W3" i="1"/>
  <c r="X8" i="1"/>
  <c r="W8" i="1"/>
  <c r="X6" i="1"/>
  <c r="W6" i="1"/>
  <c r="X4" i="1"/>
  <c r="W4" i="1"/>
  <c r="W41" i="1"/>
  <c r="W103" i="1"/>
  <c r="W95" i="1"/>
  <c r="W239" i="1"/>
  <c r="W237" i="1"/>
  <c r="W235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38" i="1"/>
</calcChain>
</file>

<file path=xl/sharedStrings.xml><?xml version="1.0" encoding="utf-8"?>
<sst xmlns="http://schemas.openxmlformats.org/spreadsheetml/2006/main" count="842" uniqueCount="308">
  <si>
    <t>PREVENCION RIESGO DE TRABAJO</t>
  </si>
  <si>
    <t>LEY 24557 RIESGO DEL TRABAJO</t>
  </si>
  <si>
    <t>NRO.CTA.</t>
  </si>
  <si>
    <t>NOMBRE</t>
  </si>
  <si>
    <t>IDCTA</t>
  </si>
  <si>
    <t>C.COSTO</t>
  </si>
  <si>
    <t>* DEPENDE DEL CENTRO DE COSTO DEL EMPLEADO</t>
  </si>
  <si>
    <t>GASTOS RENOV.PRESTAMOS</t>
  </si>
  <si>
    <t>AJUSTE POR REDONDEO</t>
  </si>
  <si>
    <t>INTERESES</t>
  </si>
  <si>
    <t>ANTICIPO AL PERSONAL</t>
  </si>
  <si>
    <t>PRESTAMOS AL PERSONAL</t>
  </si>
  <si>
    <t>RET.P/SERV.ELECT.AL PERSONAL</t>
  </si>
  <si>
    <t>RET.SERV.DE TEL.E INT.AL PERSO</t>
  </si>
  <si>
    <t>BAE DEVENGADA A PAGAR</t>
  </si>
  <si>
    <t>BONIF.CONV.ART. 9 C.C.T.36/75</t>
  </si>
  <si>
    <t>ASIG.TUR.SOC.DEVENGADO</t>
  </si>
  <si>
    <t>SAC. DEVENGADO A PAGAR</t>
  </si>
  <si>
    <t>REMUNERACIONES A PAGAR</t>
  </si>
  <si>
    <t>DCTO.1384/1 FAC.PAGO</t>
  </si>
  <si>
    <t>SIST.DE RETIRO COMPLEMENTARIO</t>
  </si>
  <si>
    <t>Turismo Foesitra</t>
  </si>
  <si>
    <t>Serv.Telev.al Personal</t>
  </si>
  <si>
    <t>PRESTAMOS LUZ Y FZA</t>
  </si>
  <si>
    <t>PRESTAMOS CEC</t>
  </si>
  <si>
    <t>SUELDOS</t>
  </si>
  <si>
    <t>*</t>
  </si>
  <si>
    <t>CARGAS SOCIALES</t>
  </si>
  <si>
    <t>SAC PTE-DE LIQ.</t>
  </si>
  <si>
    <t>VAC.EJE.CTE.PTE.LIQ.</t>
  </si>
  <si>
    <t>BAE PTE.LIQ.</t>
  </si>
  <si>
    <t>ASIG.TUR.SOCIAL PTE.LIQ.</t>
  </si>
  <si>
    <t>OTROS GASTOS EN PERSONAL</t>
  </si>
  <si>
    <t>FALLA CAJA SAN MARTIN</t>
  </si>
  <si>
    <t>FALLA CAJA GARCIA</t>
  </si>
  <si>
    <t>FALLA CAJA MARTIN GARCIA</t>
  </si>
  <si>
    <t>FALLA CAJA NATALIA CARRACEDO</t>
  </si>
  <si>
    <t>FALLA CAJA BOIRO</t>
  </si>
  <si>
    <t>FALLA CAJA NILLES</t>
  </si>
  <si>
    <t>FALLA CAJA FIANDRINO</t>
  </si>
  <si>
    <t>FALLA CAJA GASTALDO</t>
  </si>
  <si>
    <t>FALLA CAJA CRESPO</t>
  </si>
  <si>
    <t>FALLA CAJA SAN COSME</t>
  </si>
  <si>
    <t>FALLA CAJA HERNANDEZ</t>
  </si>
  <si>
    <t>FALLA CAJA ELOISA</t>
  </si>
  <si>
    <t>FALLA CAJA ABADIE</t>
  </si>
  <si>
    <t>FALLA CAJA CARRACEDO</t>
  </si>
  <si>
    <t>FALLO CAJA MARTINEZ MARIANO</t>
  </si>
  <si>
    <t>FALLO DE CAJA PAOLI ALEJANDRO</t>
  </si>
  <si>
    <t>FALLO DE CAJA PEREZ PABLO</t>
  </si>
  <si>
    <t>FALLO DE CAJA ALBARELLOS FABIA</t>
  </si>
  <si>
    <t>Fallo de Caja Romero</t>
  </si>
  <si>
    <t>FALLO CAJA BRANDAN DIEGO</t>
  </si>
  <si>
    <t>AFIP CF IVA DCTO 814/01 HABERE</t>
  </si>
  <si>
    <t>IMPUESTOS A LAS GANANCIAS</t>
  </si>
  <si>
    <t>SELLADOS PRESTAMOS PERSONALES</t>
  </si>
  <si>
    <t>S.I.J.P. LEY 24.241</t>
  </si>
  <si>
    <t>CONT.FNE.Y ASIG.FAMILIARES</t>
  </si>
  <si>
    <t>FATLYF-FDO.COMP.P/JUB.Y PEN.</t>
  </si>
  <si>
    <t>FONDO DE CESE LABORAL</t>
  </si>
  <si>
    <t>REGISTRO NAC.IND.DE LA CONSTRU</t>
  </si>
  <si>
    <t>SEGURO DE VIDA ART.108</t>
  </si>
  <si>
    <t>OBRA SOCIAL LUZ Y FUERZA</t>
  </si>
  <si>
    <t>OBRA SOCIAL OSECAC</t>
  </si>
  <si>
    <t>OBRA SOCIAL OSDE</t>
  </si>
  <si>
    <t>OBRA SOCIAL PERS DE LA</t>
  </si>
  <si>
    <t>SIND.TRAB.LUZ Y FUERZA CUOTA</t>
  </si>
  <si>
    <t>SIND.TRAB.LUZ Y FZA.MERC.</t>
  </si>
  <si>
    <t>SIND.TRAB.LUZ Y FZA.(BA) DN</t>
  </si>
  <si>
    <t>COSEGURO-SIND.TRAB.LUZ Y FZA.</t>
  </si>
  <si>
    <t>CUOTA SIND.CENTRO EMPLEADO COM</t>
  </si>
  <si>
    <t>CUOTA SOCIAL - UOCRA 2,5%</t>
  </si>
  <si>
    <t>ADIC.ART.69-70-72-CCT32/75</t>
  </si>
  <si>
    <t>ADM.NAC.DE SEG.SALUD (ANSAL)</t>
  </si>
  <si>
    <t>INSSJP LEY 19032</t>
  </si>
  <si>
    <t>SIND.TRAB.LUZ Y FZA. TUR.</t>
  </si>
  <si>
    <t>OBRA SOCIL PER.SANIDAD</t>
  </si>
  <si>
    <t>FATSA-CUOTA SINDICAL</t>
  </si>
  <si>
    <t>OSPSA-AP.FED.ASOC.TRAB.</t>
  </si>
  <si>
    <t>FAECYS ART 100-C.C.130/75</t>
  </si>
  <si>
    <t>OBRA SOCIAL SEMPRE</t>
  </si>
  <si>
    <t>SIPOS CUOTA SINDICAL</t>
  </si>
  <si>
    <t>FDO.INV.CAPAC.Y SEG.-UOCRA</t>
  </si>
  <si>
    <t>S.T.L.Y F.AP.SOLID.2%</t>
  </si>
  <si>
    <t>FODECO-FDO.P/DESARROLLO</t>
  </si>
  <si>
    <t>OBRA SOCIAL PERS.ORG.CON</t>
  </si>
  <si>
    <t>OBRA SOCIAL U.P.C.N.</t>
  </si>
  <si>
    <t>OBRA SOCIAL OSTEL (TELECOMUNIC</t>
  </si>
  <si>
    <t>OBRA SOCIAL OSPIDA</t>
  </si>
  <si>
    <t>OBRA SOCIAL PERS.DE TELEVISION</t>
  </si>
  <si>
    <t>FARMACIA SINDICAL LUZ Y FZA</t>
  </si>
  <si>
    <t>FE.N.T.O.S.(SIPOS)</t>
  </si>
  <si>
    <t>CUOTA SOLIDARIA F.A.T.S.A</t>
  </si>
  <si>
    <t>OBRA SOCIAL SERENO DE BUQUES</t>
  </si>
  <si>
    <t>OBRA SOCIAL DE CAPAT.ESTIBADOR</t>
  </si>
  <si>
    <t>O.SOC.ASOC.MUT.P.JERAR.BCO.OFI</t>
  </si>
  <si>
    <t>O.SOC.DE LA ACT.CERV.Y A FINES</t>
  </si>
  <si>
    <t>INACAP-INST.ARG.DE CAP.PRO</t>
  </si>
  <si>
    <t>CONTB.SOLID.TELEFONIA</t>
  </si>
  <si>
    <t>CUOTA SINDICAL TELEFONIA</t>
  </si>
  <si>
    <t>CES. SINDICAT.LA PAMPA</t>
  </si>
  <si>
    <t>AP.ADIC.RES.MTYSS NRO.268</t>
  </si>
  <si>
    <t>OBRA SOCIAL FERROVIARIA</t>
  </si>
  <si>
    <t>OBRA SOCIAL OSCTCP</t>
  </si>
  <si>
    <t>CUOTA SINDICAL UTA 1,5%</t>
  </si>
  <si>
    <t>APORTE SOLIDARIO OBLIGATORIO</t>
  </si>
  <si>
    <t>OBRA SOCIAL OSMMEDT</t>
  </si>
  <si>
    <t>RET.POR ORDEN JUDICIAL</t>
  </si>
  <si>
    <t>OTRAS RETENCIONES</t>
  </si>
  <si>
    <t>GRAT.EXTRAOR.JUB.ART 45</t>
  </si>
  <si>
    <t>Ley 26.494 Pers. UOCRA</t>
  </si>
  <si>
    <t>OSDEPYM</t>
  </si>
  <si>
    <t>OSCONAVE</t>
  </si>
  <si>
    <t>O.S.AERONAV.DE ENTES PRIVADOS</t>
  </si>
  <si>
    <t>OSMSS</t>
  </si>
  <si>
    <t>OSASE</t>
  </si>
  <si>
    <t>SANCOR SALUD</t>
  </si>
  <si>
    <t>O.S.TEC.VUELOS LINEAS AEREAS</t>
  </si>
  <si>
    <t>O.S.ELEC.NAVALES</t>
  </si>
  <si>
    <t>art.47 Aporte Solidario</t>
  </si>
  <si>
    <t>Focon 6% art.42</t>
  </si>
  <si>
    <t>art.48 Ac.Soc.</t>
  </si>
  <si>
    <t>Cont.Solidaria art.49</t>
  </si>
  <si>
    <t>Aporte Solid.Television</t>
  </si>
  <si>
    <t>O.S.A.C.R.A.(O.Soc.Amas de Cas</t>
  </si>
  <si>
    <t>Turismo TV 1%</t>
  </si>
  <si>
    <t>Cuota Sindical TV 2%</t>
  </si>
  <si>
    <t>Farmacia TV 3%</t>
  </si>
  <si>
    <t>AP.SOL.ACUE.2015 2% UTA</t>
  </si>
  <si>
    <t>O.S.P.D.E.A.</t>
  </si>
  <si>
    <t>OB.SOCIAL PERS.PRENSA R.A.</t>
  </si>
  <si>
    <t>CUOTA SIND.FATREN</t>
  </si>
  <si>
    <t>OBRA SOC.COND.CAMION.Y TRAN.CA</t>
  </si>
  <si>
    <t>LICENCIA 2011</t>
  </si>
  <si>
    <t>LICENCIA 2017</t>
  </si>
  <si>
    <t>VAC.YCAR.SOC.DEV.A PAGAR</t>
  </si>
  <si>
    <t>LICENCIA A¥O 2014</t>
  </si>
  <si>
    <t>LICENCIA 2015</t>
  </si>
  <si>
    <t>Licencia 2016</t>
  </si>
  <si>
    <t>LICENCIA A¥O 2011</t>
  </si>
  <si>
    <t>4</t>
  </si>
  <si>
    <t>OBRA SOC.OSPIN</t>
  </si>
  <si>
    <t>CONTRIBUCION  Dcto 633/18</t>
  </si>
  <si>
    <t xml:space="preserve">CARGAS SOCIALES                         </t>
  </si>
  <si>
    <t>PROVEEDORES DE SEGURO</t>
  </si>
  <si>
    <t>CONTRIBUCION EMPRESARIAL UOCRA</t>
  </si>
  <si>
    <t>LICENCIA 2019</t>
  </si>
  <si>
    <t>LICENCIA 2018</t>
  </si>
  <si>
    <t>COMP.PAGO CTA.ART.24 LEY IVA</t>
  </si>
  <si>
    <t>CONT.SATSAID.Ac.2019</t>
  </si>
  <si>
    <t>TENER ORDENADO POR CTA.CONTABLE</t>
  </si>
  <si>
    <t>SEGURO DE VIDA OBLIGATORIO</t>
  </si>
  <si>
    <t xml:space="preserve"> IMPUESTO A LAS GANANCIAS</t>
  </si>
  <si>
    <t xml:space="preserve"> S.I.J.P LEY 24.241</t>
  </si>
  <si>
    <t xml:space="preserve"> CONT. FNE. Y ASIGN. FAMILIARES</t>
  </si>
  <si>
    <t>FATLYF-FDO. COM. P/ JUB Y PENS.</t>
  </si>
  <si>
    <t xml:space="preserve"> SIND. TRAB. LUZ Y FUERZA CUOTA</t>
  </si>
  <si>
    <t>SIND. TRAB. LUZ Y FUERZA MERCEDES</t>
  </si>
  <si>
    <t>SIND.TRAB.LUZ Y FZA.(BA) DNAP</t>
  </si>
  <si>
    <t xml:space="preserve"> COSEGURO-SIND. TRAB. LUZ Y FUERZA</t>
  </si>
  <si>
    <t>ADIC. ART. 69-70-72-CCT 32/75</t>
  </si>
  <si>
    <t>SINDICATO TRAB. LUZ Y FUERZA - TURISMO</t>
  </si>
  <si>
    <t>OBRA SOCIAL PER. SANIDAD</t>
  </si>
  <si>
    <t xml:space="preserve"> OSPSA-AP. FED. ASOC. TRAB.</t>
  </si>
  <si>
    <t xml:space="preserve"> FACEYS ART. 100 CCT 130/75</t>
  </si>
  <si>
    <t>S.T.L.Y.F. AP. SOLID. 2%</t>
  </si>
  <si>
    <t>OBRA SOCIAL PERS. ORG. CON</t>
  </si>
  <si>
    <t xml:space="preserve"> OBRA SOCIAL U.P.C.N</t>
  </si>
  <si>
    <t>OBRA SOCIAL PERSONAL DE TELEVISION</t>
  </si>
  <si>
    <t xml:space="preserve"> FARMACIA SINDICAL LUZ Y FUERZA</t>
  </si>
  <si>
    <t>FE.N.T.O.S (SIPOS)</t>
  </si>
  <si>
    <t>OBRA SOCIAL DE CAPAT. ESTIBADORES</t>
  </si>
  <si>
    <t xml:space="preserve"> INACAP-INST. ARG. DE CAP. PRO</t>
  </si>
  <si>
    <t>CONTRIBUCION SOLIDARIA TELEFONIA</t>
  </si>
  <si>
    <t xml:space="preserve"> CUOTA SINDICAL TELEFONIA</t>
  </si>
  <si>
    <t xml:space="preserve"> CES. SINDICAT. LA PAMPA</t>
  </si>
  <si>
    <t xml:space="preserve"> AP. ADIC. RES. MTYSS NRO. 268</t>
  </si>
  <si>
    <t xml:space="preserve"> OBRA SOCIAL FERROVIARIA</t>
  </si>
  <si>
    <t xml:space="preserve"> OBRA SOCIAL OSCTCP</t>
  </si>
  <si>
    <t xml:space="preserve"> CUOTA SINDICAL UTA 1.5%</t>
  </si>
  <si>
    <t xml:space="preserve"> APORTE SOLIDARIO OBLIGATORIO</t>
  </si>
  <si>
    <t>RET. POR ORDEN JUDICIAL</t>
  </si>
  <si>
    <t xml:space="preserve"> LEY 24557 RIESGOS DEL TRABAJO</t>
  </si>
  <si>
    <t>O.S. AERONAV. DE ENTES PRIVADOS</t>
  </si>
  <si>
    <t xml:space="preserve"> SANCOR SALUD</t>
  </si>
  <si>
    <t xml:space="preserve"> O. S. ELEC. NAVALES</t>
  </si>
  <si>
    <t>ART. 47 APORTE SOLIDARIO</t>
  </si>
  <si>
    <t xml:space="preserve"> FOCON 6% ART. 42</t>
  </si>
  <si>
    <t xml:space="preserve"> ART. 48 AC. SOC.</t>
  </si>
  <si>
    <t>CUOTA SINDICAL TV 2%</t>
  </si>
  <si>
    <t xml:space="preserve"> FARMACIA TV 3%</t>
  </si>
  <si>
    <t>OB. SOCIAL PERS. PRENSA R.A</t>
  </si>
  <si>
    <t>CUOTA SIND. FATPREN</t>
  </si>
  <si>
    <t xml:space="preserve"> OBRA SOC. COND. CAMION Y TRAN. CA</t>
  </si>
  <si>
    <t xml:space="preserve"> SANCOR S/TOPE MAXIMO</t>
  </si>
  <si>
    <t>OBRA SOC. OSPIN</t>
  </si>
  <si>
    <t xml:space="preserve"> RET. P/ SERV. ELECT. AL PERSONAL</t>
  </si>
  <si>
    <t>RET. SERV. DE TEL. E INT. AL PERSONAL</t>
  </si>
  <si>
    <t xml:space="preserve"> REMUNERACIONES A PAGAR</t>
  </si>
  <si>
    <t xml:space="preserve"> SIST. DE RETIRO COMPLEMENTARIO</t>
  </si>
  <si>
    <t>SERV. TELEV. AL PERSONAL</t>
  </si>
  <si>
    <t xml:space="preserve"> PRESTAMOS LUZ Y FZA</t>
  </si>
  <si>
    <t xml:space="preserve">PRESTAMOS BCO CREDICOOP </t>
  </si>
  <si>
    <t xml:space="preserve">SUELDOS                                 </t>
  </si>
  <si>
    <t xml:space="preserve">OTROS GASTOS EN PERSONAL                </t>
  </si>
  <si>
    <t xml:space="preserve">ANTICIPO AL PERSONAL                    </t>
  </si>
  <si>
    <t xml:space="preserve">IMPUESTOS A LAS GANANCIAS               </t>
  </si>
  <si>
    <t xml:space="preserve">S.I.J.P. LEY 24.241                     </t>
  </si>
  <si>
    <t xml:space="preserve">CONT.FNE.Y ASIG.FAMILIARES              </t>
  </si>
  <si>
    <t xml:space="preserve">FATLYF-FDO.COMP.P/JUB.Y PEN.            </t>
  </si>
  <si>
    <t xml:space="preserve">OBRA SOCIAL LUZ Y FUERZA                </t>
  </si>
  <si>
    <t xml:space="preserve">OBRA SOCIAL OSECAC                      </t>
  </si>
  <si>
    <t xml:space="preserve">OBRA SOCIAL OSDE                        </t>
  </si>
  <si>
    <t xml:space="preserve">SIND.TRAB.LUZ Y FUERZA CUOTA            </t>
  </si>
  <si>
    <t xml:space="preserve">SIND.TRAB.LUZ Y FZA.MERC.               </t>
  </si>
  <si>
    <t xml:space="preserve">SIND.TRAB.LUZ Y FZA.(BA) DN             </t>
  </si>
  <si>
    <t xml:space="preserve">COSEGURO-SIND.TRAB.LUZ Y FZA.           </t>
  </si>
  <si>
    <t xml:space="preserve">CUOTA SIND.CENTRO EMPLEADO COM          </t>
  </si>
  <si>
    <t xml:space="preserve">ADIC.ART.69-70-72-CCT32/75              </t>
  </si>
  <si>
    <t xml:space="preserve">ADM.NAC.DE SEG.SALUD (ANSAL)            </t>
  </si>
  <si>
    <t xml:space="preserve">INSSJP LEY 19032                        </t>
  </si>
  <si>
    <t xml:space="preserve">SIND.TRAB.LUZ Y FZA. TUR.               </t>
  </si>
  <si>
    <t xml:space="preserve">OBRA SOCIL PER.SANIDAD                  </t>
  </si>
  <si>
    <t xml:space="preserve">FATSA-CUOTA SINDICAL                    </t>
  </si>
  <si>
    <t xml:space="preserve">OSPSA-AP.FED.ASOC.TRAB.                 </t>
  </si>
  <si>
    <t xml:space="preserve">FAECYS ART 100-C.C.130/75               </t>
  </si>
  <si>
    <t xml:space="preserve">OBRA SOCIAL SEMPRE                      </t>
  </si>
  <si>
    <t xml:space="preserve">SIPOS CUOTA SINDICAL                    </t>
  </si>
  <si>
    <t xml:space="preserve">S.T.L.Y F.AP.SOLID.2%                   </t>
  </si>
  <si>
    <t xml:space="preserve">OBRA SOCIAL PERS.ORG.CON                </t>
  </si>
  <si>
    <t xml:space="preserve">OBRA SOCIAL U.P.C.N.                    </t>
  </si>
  <si>
    <t xml:space="preserve">OBRA SOCIAL OSTEL (TELECOMUNIC          </t>
  </si>
  <si>
    <t xml:space="preserve">OBRA SOCIAL PERS.DE TELEVISION          </t>
  </si>
  <si>
    <t xml:space="preserve">FARMACIA SINDICAL LUZ Y FZA             </t>
  </si>
  <si>
    <t xml:space="preserve">FE.N.T.O.S.(SIPOS)                      </t>
  </si>
  <si>
    <t xml:space="preserve">CUOTA SOLIDARIA F.A.T.S.A               </t>
  </si>
  <si>
    <t xml:space="preserve">OBRA SOCIAL SERENO DE BUQUES            </t>
  </si>
  <si>
    <t xml:space="preserve">OBRA SOCIAL DE CAPAT.ESTIBADOR          </t>
  </si>
  <si>
    <t xml:space="preserve">O.SOC.ASOC.MUT.P.JERAR.BCO.OFI          </t>
  </si>
  <si>
    <t xml:space="preserve">INACAP-INST.ARG.DE CAP.PRO              </t>
  </si>
  <si>
    <t xml:space="preserve">CONTB.SOLID.TELEFONIA                   </t>
  </si>
  <si>
    <t xml:space="preserve">CUOTA SINDICAL TELEFONIA                </t>
  </si>
  <si>
    <t xml:space="preserve">CES. SINDICAT.LA PAMPA                  </t>
  </si>
  <si>
    <t xml:space="preserve">AP.ADIC.RES.MTYSS NRO.268               </t>
  </si>
  <si>
    <t xml:space="preserve">OBRA SOCIAL FERROVIARIA                 </t>
  </si>
  <si>
    <t xml:space="preserve">OBRA SOCIAL OSCTCP                      </t>
  </si>
  <si>
    <t xml:space="preserve">CUOTA SINDICAL UTA 1,5%                 </t>
  </si>
  <si>
    <t xml:space="preserve">APORTE SOLIDARIO OBLIGATORIO            </t>
  </si>
  <si>
    <t xml:space="preserve">OBRA SOCIAL OSMMEDT                     </t>
  </si>
  <si>
    <t xml:space="preserve">RET.POR ORDEN JUDICIAL                  </t>
  </si>
  <si>
    <t xml:space="preserve">LEY 24557 RIESGO DEL TRABAJO            </t>
  </si>
  <si>
    <t xml:space="preserve">O.S.AERONAV.DE ENTES PRIVADOS           </t>
  </si>
  <si>
    <t xml:space="preserve">OSASE                                   </t>
  </si>
  <si>
    <t xml:space="preserve">SANCOR SALUD                            </t>
  </si>
  <si>
    <t xml:space="preserve">O.S.ELEC.NAVALES                        </t>
  </si>
  <si>
    <t xml:space="preserve">art.47 Aporte Solidario                 </t>
  </si>
  <si>
    <t xml:space="preserve">Focon 6% art.42                         </t>
  </si>
  <si>
    <t xml:space="preserve">art.48 Ac.Soc.                          </t>
  </si>
  <si>
    <t xml:space="preserve">Cuota Sindical TV 2%                    </t>
  </si>
  <si>
    <t xml:space="preserve">Farmacia TV 3%                          </t>
  </si>
  <si>
    <t xml:space="preserve">CONT.SATSAID.Ac.2019                    </t>
  </si>
  <si>
    <t xml:space="preserve">OB.SOCIAL PERS.PRENSA R.A.              </t>
  </si>
  <si>
    <t xml:space="preserve">CUOTA SIND.FATREN                       </t>
  </si>
  <si>
    <t xml:space="preserve">OBRA SOC.COND.CAMION.Y TRAN.CA          </t>
  </si>
  <si>
    <t xml:space="preserve">OBRA SOC.OSPIN                          </t>
  </si>
  <si>
    <t xml:space="preserve">CONTRIBUCION  Dcto 633/18               </t>
  </si>
  <si>
    <t xml:space="preserve">RET.P/SERV.ELECT.AL PERSONAL            </t>
  </si>
  <si>
    <t xml:space="preserve">RET.SERV.DE TEL.E INT.AL PERSO          </t>
  </si>
  <si>
    <t xml:space="preserve">REMUNERACIONES A PAGAR                  </t>
  </si>
  <si>
    <t xml:space="preserve">SIST.DE RETIRO COMPLEMENTARIO           </t>
  </si>
  <si>
    <t xml:space="preserve">Serv.Telev.al Personal                  </t>
  </si>
  <si>
    <t xml:space="preserve">PRESTAMOS LUZ Y FZA                     </t>
  </si>
  <si>
    <t xml:space="preserve">PRESTAMOS CEC                           </t>
  </si>
  <si>
    <t>FALLA CAJA VIZCARRA</t>
  </si>
  <si>
    <t>SAC</t>
  </si>
  <si>
    <t>VACACIONES</t>
  </si>
  <si>
    <t>BAE</t>
  </si>
  <si>
    <t>HORAS EXTRAS</t>
  </si>
  <si>
    <t>CONTRIB.SOLIDARIA LyF</t>
  </si>
  <si>
    <t>DIFERENCIA CAJA VIZCARRA</t>
  </si>
  <si>
    <t>DIFERENCIA CAJA CARRACEDO</t>
  </si>
  <si>
    <t xml:space="preserve">PREVENCION RIESGO DE TRABAJO            </t>
  </si>
  <si>
    <t xml:space="preserve">PROVEEDORES DE SEGURO                   </t>
  </si>
  <si>
    <t xml:space="preserve"> SANCOR S/TOPE MAXIMO                   </t>
  </si>
  <si>
    <t xml:space="preserve">FALLA CAJA VIZCARRA                     </t>
  </si>
  <si>
    <t xml:space="preserve">FALLA CAJA NATALIA CARRACEDO            </t>
  </si>
  <si>
    <t xml:space="preserve">CONTRIB.SOLIDARIA LyF                   </t>
  </si>
  <si>
    <t xml:space="preserve">BAE                                     </t>
  </si>
  <si>
    <t xml:space="preserve">HORAS EXTRAS                            </t>
  </si>
  <si>
    <t xml:space="preserve">VACACIONES                              </t>
  </si>
  <si>
    <t>CONTRIB.SOLID.FATPREN</t>
  </si>
  <si>
    <t>CONTRIB.SOLIDARIA SIPOS</t>
  </si>
  <si>
    <t>OBRA SOCIAL PERS DE LA CONST.</t>
  </si>
  <si>
    <t xml:space="preserve"> CUOTA SIND. CENTRO EMP.COMERCIO</t>
  </si>
  <si>
    <t>ADM. NAC. DE SEG. SALUD (ANSSAL)</t>
  </si>
  <si>
    <t>OBRAS SOCIAL OSTEL (TELECOM.)</t>
  </si>
  <si>
    <t xml:space="preserve"> O. SOC. ASOC. MUT. PERS. JERARQUICO</t>
  </si>
  <si>
    <t>ART. 123 CCT 223/7</t>
  </si>
  <si>
    <t>OSACRA</t>
  </si>
  <si>
    <t xml:space="preserve"> CONTRIBUCION  Dto 633/18</t>
  </si>
  <si>
    <t>CONTRIB. SOLIDARIA FATPREN</t>
  </si>
  <si>
    <t xml:space="preserve"> OSDE  S/TOPE MAXIMO</t>
  </si>
  <si>
    <t xml:space="preserve">SAC                                     </t>
  </si>
  <si>
    <t xml:space="preserve">OBRA SOCIAL PERS DE LA                  </t>
  </si>
  <si>
    <t xml:space="preserve">Aporte Solid.Television                 </t>
  </si>
  <si>
    <t xml:space="preserve">O.S.A.C.R.A.(O.Soc.Amas de Cas          </t>
  </si>
  <si>
    <t xml:space="preserve">CONTRIB.SOLID.FATPREN                   </t>
  </si>
  <si>
    <t xml:space="preserve">CONTRIB.SOLIDARIA SIPOS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</si>
</sst>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0"/>
    <numFmt numFmtId="165" formatCode="0000"/>
  </numFmts>
  <fonts count="6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sz val="8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9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 applyAlignment="1">
      <alignment horizontal="center"/>
    </xf>
    <xf numFmtId="164" fontId="0" fillId="0" borderId="0" xfId="0" applyNumberFormat="1"/>
    <xf numFmtId="14" fontId="0" fillId="0" borderId="0" xfId="0" applyNumberFormat="1"/>
    <xf numFmtId="49" fontId="0" fillId="0" borderId="0" xfId="0" applyNumberFormat="1"/>
    <xf numFmtId="2" fontId="0" fillId="0" borderId="0" xfId="0" applyNumberFormat="1"/>
    <xf numFmtId="165" fontId="0" fillId="0" borderId="0" xfId="0" applyNumberFormat="1" applyProtection="1">
      <protection locked="0"/>
    </xf>
    <xf numFmtId="0" fontId="0" fillId="0" borderId="1" xfId="0" applyFill="1" applyBorder="1"/>
    <xf numFmtId="0" fontId="0" fillId="2" borderId="1" xfId="0" applyFill="1" applyBorder="1"/>
    <xf numFmtId="0" fontId="0" fillId="0" borderId="1" xfId="0" applyBorder="1"/>
    <xf numFmtId="2" fontId="0" fillId="0" borderId="1" xfId="0" applyNumberFormat="1" applyBorder="1"/>
    <xf numFmtId="2" fontId="0" fillId="0" borderId="1" xfId="0" applyNumberFormat="1" applyFill="1" applyBorder="1"/>
    <xf numFmtId="2" fontId="3" fillId="0" borderId="1" xfId="0" applyNumberFormat="1" applyFont="1" applyFill="1" applyBorder="1"/>
    <xf numFmtId="2" fontId="0" fillId="0" borderId="0" xfId="0" applyNumberFormat="1" applyBorder="1"/>
    <xf numFmtId="2" fontId="3" fillId="0" borderId="2" xfId="0" applyNumberFormat="1" applyFont="1" applyFill="1" applyBorder="1"/>
    <xf numFmtId="0" fontId="0" fillId="0" borderId="0" xfId="0" applyBorder="1"/>
    <xf numFmtId="0" fontId="0" fillId="0" borderId="0" xfId="0" applyFill="1" applyBorder="1"/>
    <xf numFmtId="0" fontId="4" fillId="0" borderId="1" xfId="0" applyFont="1" applyBorder="1"/>
    <xf numFmtId="0" fontId="5" fillId="3" borderId="0" xfId="0" applyFont="1" applyFill="1" applyBorder="1" applyAlignment="1"/>
    <xf numFmtId="2" fontId="0" fillId="0" borderId="2" xfId="0" applyNumberFormat="1" applyFill="1" applyBorder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honeticPr fontId="2" type="noConversion"/>
  <pageMargins left="0.75" right="0.75" top="1" bottom="1" header="0" footer="0"/>
  <headerFooter alignWithMargins="0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B362"/>
  <sheetViews>
    <sheetView tabSelected="1" topLeftCell="L2" workbookViewId="0">
      <selection activeCell="L2" sqref="L2:T350"/>
    </sheetView>
  </sheetViews>
  <sheetFormatPr baseColWidth="10" defaultRowHeight="15" x14ac:dyDescent="0.25"/>
  <cols>
    <col min="7" max="7" width="37.140625" customWidth="1"/>
    <col min="13" max="13" width="11.42578125" style="2"/>
    <col min="15" max="15" width="34.7109375" customWidth="1"/>
    <col min="16" max="16" width="11.42578125" style="4"/>
    <col min="17" max="17" width="11.42578125" style="6"/>
    <col min="18" max="18" width="11.42578125" style="5"/>
    <col min="19" max="19" width="4.28515625" style="5" customWidth="1"/>
  </cols>
  <sheetData>
    <row r="1" spans="1:28" x14ac:dyDescent="0.25">
      <c r="A1" s="3">
        <v>43677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L1">
        <v>5</v>
      </c>
      <c r="M1" s="2">
        <v>5</v>
      </c>
      <c r="N1">
        <v>8</v>
      </c>
      <c r="O1">
        <v>40</v>
      </c>
      <c r="P1" s="4" t="s">
        <v>140</v>
      </c>
      <c r="Q1" s="6">
        <v>4</v>
      </c>
      <c r="R1" s="5">
        <v>10.199999999999999</v>
      </c>
      <c r="S1" s="5">
        <v>1</v>
      </c>
      <c r="T1">
        <v>10.199999999999999</v>
      </c>
    </row>
    <row r="2" spans="1:28" x14ac:dyDescent="0.25">
      <c r="F2">
        <v>4206</v>
      </c>
      <c r="G2" t="s">
        <v>7</v>
      </c>
      <c r="H2">
        <v>1168</v>
      </c>
      <c r="I2">
        <v>52</v>
      </c>
      <c r="L2">
        <v>88888</v>
      </c>
      <c r="M2" s="2">
        <v>1</v>
      </c>
      <c r="N2" s="3">
        <f>+A$1</f>
        <v>43677</v>
      </c>
      <c r="O2" t="s">
        <v>203</v>
      </c>
      <c r="P2">
        <f t="shared" ref="P2:P65" si="0">LOOKUP(A3,F$2:F$153,H$2:H$153)</f>
        <v>1028</v>
      </c>
      <c r="Q2" s="6">
        <f t="shared" ref="Q2:Q20" si="1">+C3</f>
        <v>2</v>
      </c>
      <c r="R2" s="5">
        <f t="shared" ref="R2:R20" si="2">+D3</f>
        <v>237977.36166666672</v>
      </c>
      <c r="T2" s="5">
        <f t="shared" ref="T2:T20" si="3">+E3</f>
        <v>0</v>
      </c>
      <c r="U2">
        <f>LEN(S2)</f>
        <v>0</v>
      </c>
      <c r="V2">
        <f>LEN(O2)</f>
        <v>40</v>
      </c>
      <c r="W2" t="str">
        <f t="shared" ref="W2:W20" si="4">AB2 &amp; REPT(" ",(40-X2))</f>
        <v xml:space="preserve">SUELDOS                                 </v>
      </c>
      <c r="X2">
        <f t="shared" ref="X2:X20" si="5">LEN(AB2)</f>
        <v>7</v>
      </c>
      <c r="Y2" t="str">
        <f t="shared" ref="Y2:Y20" si="6">S2 &amp; REPT(" ",(1-U2))</f>
        <v xml:space="preserve"> </v>
      </c>
      <c r="Z2">
        <f>LEN(Y2)</f>
        <v>1</v>
      </c>
      <c r="AB2" t="str">
        <f t="shared" ref="AB2:AB65" si="7">LOOKUP(A3,F$2:F$153,G$2:G$153)</f>
        <v>SUELDOS</v>
      </c>
    </row>
    <row r="3" spans="1:28" x14ac:dyDescent="0.25">
      <c r="A3" s="17">
        <v>5110501</v>
      </c>
      <c r="B3" s="17" t="s">
        <v>25</v>
      </c>
      <c r="C3">
        <v>2</v>
      </c>
      <c r="D3" s="10">
        <v>237977.36166666672</v>
      </c>
      <c r="E3" s="11"/>
      <c r="F3">
        <v>4222</v>
      </c>
      <c r="G3" t="s">
        <v>8</v>
      </c>
      <c r="H3">
        <v>1194</v>
      </c>
      <c r="I3">
        <v>1</v>
      </c>
      <c r="L3">
        <v>88888</v>
      </c>
      <c r="M3" s="2">
        <f t="shared" ref="M3:M20" si="8">+M2+1</f>
        <v>2</v>
      </c>
      <c r="N3" s="3">
        <f t="shared" ref="N3:N20" si="9">+A$1</f>
        <v>43677</v>
      </c>
      <c r="O3" t="s">
        <v>143</v>
      </c>
      <c r="P3">
        <f t="shared" si="0"/>
        <v>1029</v>
      </c>
      <c r="Q3" s="6">
        <f t="shared" si="1"/>
        <v>2</v>
      </c>
      <c r="R3" s="5">
        <f t="shared" si="2"/>
        <v>263519.32980399998</v>
      </c>
      <c r="T3" s="5">
        <f t="shared" si="3"/>
        <v>0</v>
      </c>
      <c r="U3">
        <f t="shared" ref="U3:U20" si="10">LEN(S3)</f>
        <v>0</v>
      </c>
      <c r="V3">
        <f t="shared" ref="V3:V20" si="11">LEN(O3)</f>
        <v>40</v>
      </c>
      <c r="W3" t="str">
        <f t="shared" si="4"/>
        <v xml:space="preserve">CARGAS SOCIALES                         </v>
      </c>
      <c r="X3">
        <f t="shared" si="5"/>
        <v>15</v>
      </c>
      <c r="Y3" t="str">
        <f t="shared" si="6"/>
        <v xml:space="preserve"> </v>
      </c>
      <c r="AB3" t="str">
        <f t="shared" si="7"/>
        <v>CARGAS SOCIALES</v>
      </c>
    </row>
    <row r="4" spans="1:28" ht="15.75" x14ac:dyDescent="0.25">
      <c r="A4" s="17">
        <v>5110502</v>
      </c>
      <c r="B4" s="17" t="s">
        <v>27</v>
      </c>
      <c r="C4" s="1">
        <v>2</v>
      </c>
      <c r="D4" s="10">
        <v>263519.32980399998</v>
      </c>
      <c r="E4" s="11"/>
      <c r="F4">
        <v>5303</v>
      </c>
      <c r="G4" t="s">
        <v>9</v>
      </c>
      <c r="H4">
        <v>1237</v>
      </c>
      <c r="I4">
        <v>1</v>
      </c>
      <c r="L4">
        <v>88888</v>
      </c>
      <c r="M4" s="2">
        <f t="shared" si="8"/>
        <v>3</v>
      </c>
      <c r="N4" s="3">
        <f t="shared" si="9"/>
        <v>43677</v>
      </c>
      <c r="O4" t="s">
        <v>302</v>
      </c>
      <c r="P4">
        <f t="shared" si="0"/>
        <v>2032</v>
      </c>
      <c r="Q4" s="6">
        <f t="shared" si="1"/>
        <v>2</v>
      </c>
      <c r="R4" s="5">
        <f t="shared" si="2"/>
        <v>135967.85999999999</v>
      </c>
      <c r="T4" s="5">
        <f t="shared" si="3"/>
        <v>0</v>
      </c>
      <c r="U4">
        <f t="shared" si="10"/>
        <v>0</v>
      </c>
      <c r="V4">
        <f t="shared" si="11"/>
        <v>40</v>
      </c>
      <c r="W4" t="str">
        <f t="shared" si="4"/>
        <v xml:space="preserve">SAC                                     </v>
      </c>
      <c r="X4">
        <f t="shared" si="5"/>
        <v>3</v>
      </c>
      <c r="Y4" t="str">
        <f t="shared" si="6"/>
        <v xml:space="preserve"> </v>
      </c>
      <c r="AB4" t="str">
        <f t="shared" si="7"/>
        <v>SAC</v>
      </c>
    </row>
    <row r="5" spans="1:28" ht="15.75" x14ac:dyDescent="0.25">
      <c r="A5" s="17">
        <v>5110513</v>
      </c>
      <c r="B5" s="17" t="s">
        <v>274</v>
      </c>
      <c r="C5" s="1">
        <v>2</v>
      </c>
      <c r="D5" s="10">
        <v>135967.85999999999</v>
      </c>
      <c r="E5" s="11"/>
      <c r="F5">
        <v>113209</v>
      </c>
      <c r="G5" t="s">
        <v>10</v>
      </c>
      <c r="H5">
        <v>286</v>
      </c>
      <c r="I5">
        <v>1</v>
      </c>
      <c r="L5">
        <v>88888</v>
      </c>
      <c r="M5" s="2">
        <f t="shared" si="8"/>
        <v>4</v>
      </c>
      <c r="N5" s="3">
        <f t="shared" si="9"/>
        <v>43677</v>
      </c>
      <c r="O5" t="s">
        <v>287</v>
      </c>
      <c r="P5">
        <f t="shared" si="0"/>
        <v>2034</v>
      </c>
      <c r="Q5" s="6">
        <f t="shared" si="1"/>
        <v>2</v>
      </c>
      <c r="R5" s="5">
        <f t="shared" si="2"/>
        <v>272355.4383333333</v>
      </c>
      <c r="T5" s="5">
        <f t="shared" si="3"/>
        <v>0</v>
      </c>
      <c r="U5">
        <f t="shared" si="10"/>
        <v>0</v>
      </c>
      <c r="V5">
        <f t="shared" si="11"/>
        <v>40</v>
      </c>
      <c r="W5" t="str">
        <f t="shared" si="4"/>
        <v xml:space="preserve">BAE                                     </v>
      </c>
      <c r="X5">
        <f t="shared" si="5"/>
        <v>3</v>
      </c>
      <c r="Y5" t="str">
        <f t="shared" si="6"/>
        <v xml:space="preserve"> </v>
      </c>
      <c r="AB5" t="str">
        <f t="shared" si="7"/>
        <v>BAE</v>
      </c>
    </row>
    <row r="6" spans="1:28" ht="15.75" x14ac:dyDescent="0.25">
      <c r="A6" s="17">
        <v>5110515</v>
      </c>
      <c r="B6" s="17" t="s">
        <v>276</v>
      </c>
      <c r="C6" s="1">
        <v>2</v>
      </c>
      <c r="D6" s="10">
        <v>272355.4383333333</v>
      </c>
      <c r="E6" s="11"/>
      <c r="F6">
        <v>113211</v>
      </c>
      <c r="G6" t="s">
        <v>11</v>
      </c>
      <c r="H6">
        <v>288</v>
      </c>
      <c r="I6">
        <v>1</v>
      </c>
      <c r="L6">
        <v>88888</v>
      </c>
      <c r="M6" s="2">
        <f t="shared" si="8"/>
        <v>5</v>
      </c>
      <c r="N6" s="3">
        <f t="shared" si="9"/>
        <v>43677</v>
      </c>
      <c r="O6" t="s">
        <v>288</v>
      </c>
      <c r="P6">
        <f t="shared" si="0"/>
        <v>2035</v>
      </c>
      <c r="Q6" s="6">
        <f t="shared" si="1"/>
        <v>2</v>
      </c>
      <c r="R6" s="5">
        <f t="shared" si="2"/>
        <v>31651.14</v>
      </c>
      <c r="T6" s="5">
        <f t="shared" si="3"/>
        <v>0</v>
      </c>
      <c r="U6">
        <f t="shared" si="10"/>
        <v>0</v>
      </c>
      <c r="V6">
        <f t="shared" si="11"/>
        <v>40</v>
      </c>
      <c r="W6" t="str">
        <f t="shared" si="4"/>
        <v xml:space="preserve">HORAS EXTRAS                            </v>
      </c>
      <c r="X6">
        <f t="shared" si="5"/>
        <v>12</v>
      </c>
      <c r="Y6" t="str">
        <f t="shared" si="6"/>
        <v xml:space="preserve"> </v>
      </c>
      <c r="AB6" t="str">
        <f t="shared" si="7"/>
        <v>HORAS EXTRAS</v>
      </c>
    </row>
    <row r="7" spans="1:28" ht="15.75" x14ac:dyDescent="0.25">
      <c r="A7" s="17">
        <v>5110516</v>
      </c>
      <c r="B7" s="17" t="s">
        <v>277</v>
      </c>
      <c r="C7" s="1">
        <v>2</v>
      </c>
      <c r="D7" s="10">
        <v>31651.14</v>
      </c>
      <c r="E7" s="11"/>
      <c r="F7">
        <v>211402</v>
      </c>
      <c r="G7" t="s">
        <v>12</v>
      </c>
      <c r="H7">
        <v>173</v>
      </c>
      <c r="I7">
        <v>1</v>
      </c>
      <c r="L7">
        <v>88888</v>
      </c>
      <c r="M7" s="2">
        <f t="shared" si="8"/>
        <v>6</v>
      </c>
      <c r="N7" s="3">
        <f t="shared" si="9"/>
        <v>43677</v>
      </c>
      <c r="O7" t="s">
        <v>204</v>
      </c>
      <c r="P7">
        <f t="shared" si="0"/>
        <v>1081</v>
      </c>
      <c r="Q7" s="6">
        <f t="shared" si="1"/>
        <v>2</v>
      </c>
      <c r="R7" s="5">
        <f t="shared" si="2"/>
        <v>1.25</v>
      </c>
      <c r="T7" s="5">
        <f t="shared" si="3"/>
        <v>0</v>
      </c>
      <c r="U7">
        <f t="shared" si="10"/>
        <v>0</v>
      </c>
      <c r="V7">
        <f t="shared" si="11"/>
        <v>40</v>
      </c>
      <c r="W7" t="str">
        <f t="shared" si="4"/>
        <v xml:space="preserve">OTROS GASTOS EN PERSONAL                </v>
      </c>
      <c r="X7">
        <f t="shared" si="5"/>
        <v>24</v>
      </c>
      <c r="Y7" t="str">
        <f t="shared" si="6"/>
        <v xml:space="preserve"> </v>
      </c>
      <c r="AB7" t="str">
        <f t="shared" si="7"/>
        <v>OTROS GASTOS EN PERSONAL</v>
      </c>
    </row>
    <row r="8" spans="1:28" ht="15.75" x14ac:dyDescent="0.25">
      <c r="A8" s="17">
        <v>5111501</v>
      </c>
      <c r="B8" s="17" t="s">
        <v>32</v>
      </c>
      <c r="C8" s="1">
        <v>2</v>
      </c>
      <c r="D8" s="10">
        <v>1.25</v>
      </c>
      <c r="E8" s="11"/>
      <c r="F8">
        <v>211403</v>
      </c>
      <c r="G8" t="s">
        <v>13</v>
      </c>
      <c r="H8">
        <v>174</v>
      </c>
      <c r="I8">
        <v>1</v>
      </c>
      <c r="L8">
        <v>88888</v>
      </c>
      <c r="M8" s="2">
        <f t="shared" si="8"/>
        <v>7</v>
      </c>
      <c r="N8" s="3">
        <f t="shared" si="9"/>
        <v>43677</v>
      </c>
      <c r="O8" t="s">
        <v>203</v>
      </c>
      <c r="P8">
        <f t="shared" si="0"/>
        <v>1028</v>
      </c>
      <c r="Q8" s="6">
        <f t="shared" si="1"/>
        <v>3</v>
      </c>
      <c r="R8" s="5">
        <f t="shared" si="2"/>
        <v>991992.45750000014</v>
      </c>
      <c r="T8" s="5">
        <f t="shared" si="3"/>
        <v>0</v>
      </c>
      <c r="U8">
        <f t="shared" si="10"/>
        <v>0</v>
      </c>
      <c r="V8">
        <f t="shared" si="11"/>
        <v>40</v>
      </c>
      <c r="W8" t="str">
        <f t="shared" si="4"/>
        <v xml:space="preserve">SUELDOS                                 </v>
      </c>
      <c r="X8">
        <f t="shared" si="5"/>
        <v>7</v>
      </c>
      <c r="Y8" t="str">
        <f t="shared" si="6"/>
        <v xml:space="preserve"> </v>
      </c>
      <c r="AB8" t="str">
        <f t="shared" si="7"/>
        <v>SUELDOS</v>
      </c>
    </row>
    <row r="9" spans="1:28" ht="15.75" x14ac:dyDescent="0.25">
      <c r="A9" s="17">
        <v>5110501</v>
      </c>
      <c r="B9" s="17" t="s">
        <v>25</v>
      </c>
      <c r="C9" s="1">
        <v>3</v>
      </c>
      <c r="D9" s="10">
        <v>991992.45750000014</v>
      </c>
      <c r="E9" s="11"/>
      <c r="F9">
        <v>211404</v>
      </c>
      <c r="G9" t="s">
        <v>14</v>
      </c>
      <c r="H9">
        <v>178</v>
      </c>
      <c r="I9">
        <v>1</v>
      </c>
      <c r="L9">
        <v>88888</v>
      </c>
      <c r="M9" s="2">
        <f t="shared" si="8"/>
        <v>8</v>
      </c>
      <c r="N9" s="3">
        <f t="shared" si="9"/>
        <v>43677</v>
      </c>
      <c r="O9" t="s">
        <v>143</v>
      </c>
      <c r="P9">
        <f t="shared" si="0"/>
        <v>1029</v>
      </c>
      <c r="Q9" s="6">
        <f t="shared" si="1"/>
        <v>3</v>
      </c>
      <c r="R9" s="5">
        <f t="shared" si="2"/>
        <v>729794.65483379993</v>
      </c>
      <c r="T9" s="5">
        <f t="shared" si="3"/>
        <v>0</v>
      </c>
      <c r="U9">
        <f t="shared" si="10"/>
        <v>0</v>
      </c>
      <c r="V9">
        <f t="shared" si="11"/>
        <v>40</v>
      </c>
      <c r="W9" t="str">
        <f t="shared" si="4"/>
        <v xml:space="preserve">CARGAS SOCIALES                         </v>
      </c>
      <c r="X9">
        <f t="shared" si="5"/>
        <v>15</v>
      </c>
      <c r="Y9" t="str">
        <f t="shared" si="6"/>
        <v xml:space="preserve"> </v>
      </c>
      <c r="AB9" t="str">
        <f t="shared" si="7"/>
        <v>CARGAS SOCIALES</v>
      </c>
    </row>
    <row r="10" spans="1:28" ht="15.75" x14ac:dyDescent="0.25">
      <c r="A10" s="17">
        <v>5110502</v>
      </c>
      <c r="B10" s="17" t="s">
        <v>27</v>
      </c>
      <c r="C10" s="1">
        <v>3</v>
      </c>
      <c r="D10" s="10">
        <v>729794.65483379993</v>
      </c>
      <c r="E10" s="11"/>
      <c r="F10">
        <v>211406</v>
      </c>
      <c r="G10" t="s">
        <v>15</v>
      </c>
      <c r="H10">
        <v>183</v>
      </c>
      <c r="I10">
        <v>1</v>
      </c>
      <c r="L10">
        <v>88888</v>
      </c>
      <c r="M10" s="2">
        <f t="shared" si="8"/>
        <v>9</v>
      </c>
      <c r="N10" s="3">
        <f t="shared" si="9"/>
        <v>43677</v>
      </c>
      <c r="O10" t="s">
        <v>302</v>
      </c>
      <c r="P10">
        <f t="shared" si="0"/>
        <v>2032</v>
      </c>
      <c r="Q10" s="6">
        <f t="shared" si="1"/>
        <v>3</v>
      </c>
      <c r="R10" s="5">
        <f t="shared" si="2"/>
        <v>654906.25</v>
      </c>
      <c r="T10" s="5">
        <f t="shared" si="3"/>
        <v>0</v>
      </c>
      <c r="U10">
        <f t="shared" si="10"/>
        <v>0</v>
      </c>
      <c r="V10">
        <f t="shared" si="11"/>
        <v>40</v>
      </c>
      <c r="W10" t="str">
        <f t="shared" si="4"/>
        <v xml:space="preserve">SAC                                     </v>
      </c>
      <c r="X10">
        <f t="shared" si="5"/>
        <v>3</v>
      </c>
      <c r="Y10" t="str">
        <f t="shared" si="6"/>
        <v xml:space="preserve"> </v>
      </c>
      <c r="AB10" t="str">
        <f t="shared" si="7"/>
        <v>SAC</v>
      </c>
    </row>
    <row r="11" spans="1:28" ht="15.75" x14ac:dyDescent="0.25">
      <c r="A11" s="17">
        <v>5110513</v>
      </c>
      <c r="B11" s="17" t="s">
        <v>274</v>
      </c>
      <c r="C11" s="1">
        <v>3</v>
      </c>
      <c r="D11" s="10">
        <v>654906.25</v>
      </c>
      <c r="E11" s="11"/>
      <c r="F11">
        <v>211407</v>
      </c>
      <c r="G11" t="s">
        <v>16</v>
      </c>
      <c r="H11">
        <v>184</v>
      </c>
      <c r="I11">
        <v>1</v>
      </c>
      <c r="L11">
        <v>88888</v>
      </c>
      <c r="M11" s="2">
        <f t="shared" si="8"/>
        <v>10</v>
      </c>
      <c r="N11" s="3">
        <f t="shared" si="9"/>
        <v>43677</v>
      </c>
      <c r="O11" t="s">
        <v>289</v>
      </c>
      <c r="P11">
        <f t="shared" si="0"/>
        <v>2033</v>
      </c>
      <c r="Q11" s="6">
        <f t="shared" si="1"/>
        <v>3</v>
      </c>
      <c r="R11" s="5">
        <f t="shared" si="2"/>
        <v>99038.06</v>
      </c>
      <c r="T11" s="5">
        <f t="shared" si="3"/>
        <v>0</v>
      </c>
      <c r="U11">
        <f t="shared" si="10"/>
        <v>0</v>
      </c>
      <c r="V11">
        <f t="shared" si="11"/>
        <v>40</v>
      </c>
      <c r="W11" t="str">
        <f t="shared" si="4"/>
        <v xml:space="preserve">VACACIONES                              </v>
      </c>
      <c r="X11">
        <f t="shared" si="5"/>
        <v>10</v>
      </c>
      <c r="Y11" t="str">
        <f t="shared" si="6"/>
        <v xml:space="preserve"> </v>
      </c>
      <c r="AB11" t="str">
        <f t="shared" si="7"/>
        <v>VACACIONES</v>
      </c>
    </row>
    <row r="12" spans="1:28" ht="15.75" x14ac:dyDescent="0.25">
      <c r="A12" s="17">
        <v>5110514</v>
      </c>
      <c r="B12" s="17" t="s">
        <v>275</v>
      </c>
      <c r="C12" s="1">
        <v>3</v>
      </c>
      <c r="D12" s="10">
        <v>99038.06</v>
      </c>
      <c r="E12" s="11"/>
      <c r="F12">
        <v>211408</v>
      </c>
      <c r="G12" t="s">
        <v>17</v>
      </c>
      <c r="H12">
        <v>185</v>
      </c>
      <c r="I12">
        <v>1</v>
      </c>
      <c r="L12">
        <v>88888</v>
      </c>
      <c r="M12" s="2">
        <f t="shared" si="8"/>
        <v>11</v>
      </c>
      <c r="N12" s="3">
        <f t="shared" si="9"/>
        <v>43677</v>
      </c>
      <c r="O12" t="s">
        <v>287</v>
      </c>
      <c r="P12">
        <f t="shared" si="0"/>
        <v>2034</v>
      </c>
      <c r="Q12" s="6">
        <f t="shared" si="1"/>
        <v>3</v>
      </c>
      <c r="R12" s="5">
        <f t="shared" si="2"/>
        <v>42627.8125</v>
      </c>
      <c r="T12" s="5">
        <f t="shared" si="3"/>
        <v>0</v>
      </c>
      <c r="U12">
        <f t="shared" si="10"/>
        <v>0</v>
      </c>
      <c r="V12">
        <f t="shared" si="11"/>
        <v>40</v>
      </c>
      <c r="W12" t="str">
        <f t="shared" si="4"/>
        <v xml:space="preserve">BAE                                     </v>
      </c>
      <c r="X12">
        <f t="shared" si="5"/>
        <v>3</v>
      </c>
      <c r="Y12" t="str">
        <f t="shared" si="6"/>
        <v xml:space="preserve"> </v>
      </c>
      <c r="AB12" t="str">
        <f t="shared" si="7"/>
        <v>BAE</v>
      </c>
    </row>
    <row r="13" spans="1:28" ht="15.75" x14ac:dyDescent="0.25">
      <c r="A13" s="17">
        <v>5110515</v>
      </c>
      <c r="B13" s="17" t="s">
        <v>276</v>
      </c>
      <c r="C13" s="1">
        <v>3</v>
      </c>
      <c r="D13" s="10">
        <v>42627.8125</v>
      </c>
      <c r="E13" s="11"/>
      <c r="F13">
        <v>211409</v>
      </c>
      <c r="G13" t="s">
        <v>18</v>
      </c>
      <c r="H13">
        <v>187</v>
      </c>
      <c r="I13">
        <v>1</v>
      </c>
      <c r="L13">
        <v>88888</v>
      </c>
      <c r="M13" s="2">
        <f t="shared" si="8"/>
        <v>12</v>
      </c>
      <c r="N13" s="3">
        <f t="shared" si="9"/>
        <v>43677</v>
      </c>
      <c r="O13" t="s">
        <v>288</v>
      </c>
      <c r="P13">
        <f t="shared" si="0"/>
        <v>2035</v>
      </c>
      <c r="Q13" s="6">
        <f t="shared" si="1"/>
        <v>3</v>
      </c>
      <c r="R13" s="5">
        <f t="shared" si="2"/>
        <v>123793.23</v>
      </c>
      <c r="T13" s="5">
        <f t="shared" si="3"/>
        <v>0</v>
      </c>
      <c r="U13">
        <f t="shared" si="10"/>
        <v>0</v>
      </c>
      <c r="V13">
        <f t="shared" si="11"/>
        <v>40</v>
      </c>
      <c r="W13" t="str">
        <f t="shared" si="4"/>
        <v xml:space="preserve">HORAS EXTRAS                            </v>
      </c>
      <c r="X13">
        <f t="shared" si="5"/>
        <v>12</v>
      </c>
      <c r="Y13" t="str">
        <f t="shared" si="6"/>
        <v xml:space="preserve"> </v>
      </c>
      <c r="AB13" t="str">
        <f t="shared" si="7"/>
        <v>HORAS EXTRAS</v>
      </c>
    </row>
    <row r="14" spans="1:28" ht="15.75" x14ac:dyDescent="0.25">
      <c r="A14" s="17">
        <v>5110516</v>
      </c>
      <c r="B14" s="17" t="s">
        <v>277</v>
      </c>
      <c r="C14" s="1">
        <v>3</v>
      </c>
      <c r="D14" s="10">
        <v>123793.23</v>
      </c>
      <c r="E14" s="11"/>
      <c r="F14">
        <v>211410</v>
      </c>
      <c r="G14" t="s">
        <v>19</v>
      </c>
      <c r="H14">
        <v>355</v>
      </c>
      <c r="I14">
        <v>1</v>
      </c>
      <c r="L14">
        <v>88888</v>
      </c>
      <c r="M14" s="2">
        <f t="shared" si="8"/>
        <v>13</v>
      </c>
      <c r="N14" s="3">
        <f t="shared" si="9"/>
        <v>43677</v>
      </c>
      <c r="O14" t="s">
        <v>204</v>
      </c>
      <c r="P14">
        <f t="shared" si="0"/>
        <v>1081</v>
      </c>
      <c r="Q14" s="6">
        <f t="shared" si="1"/>
        <v>3</v>
      </c>
      <c r="R14" s="5">
        <f t="shared" si="2"/>
        <v>7.44</v>
      </c>
      <c r="T14" s="5">
        <f t="shared" si="3"/>
        <v>0</v>
      </c>
      <c r="U14">
        <f t="shared" si="10"/>
        <v>0</v>
      </c>
      <c r="V14">
        <f t="shared" si="11"/>
        <v>40</v>
      </c>
      <c r="W14" t="str">
        <f t="shared" si="4"/>
        <v xml:space="preserve">OTROS GASTOS EN PERSONAL                </v>
      </c>
      <c r="X14">
        <f t="shared" si="5"/>
        <v>24</v>
      </c>
      <c r="Y14" t="str">
        <f t="shared" si="6"/>
        <v xml:space="preserve"> </v>
      </c>
      <c r="AB14" t="str">
        <f t="shared" si="7"/>
        <v>OTROS GASTOS EN PERSONAL</v>
      </c>
    </row>
    <row r="15" spans="1:28" ht="15.75" x14ac:dyDescent="0.25">
      <c r="A15" s="17">
        <v>5111501</v>
      </c>
      <c r="B15" s="17" t="s">
        <v>32</v>
      </c>
      <c r="C15" s="1">
        <v>3</v>
      </c>
      <c r="D15" s="10">
        <v>7.44</v>
      </c>
      <c r="E15" s="11"/>
      <c r="F15">
        <v>211411</v>
      </c>
      <c r="G15" t="s">
        <v>20</v>
      </c>
      <c r="H15">
        <v>356</v>
      </c>
      <c r="I15">
        <v>1</v>
      </c>
      <c r="L15">
        <v>88888</v>
      </c>
      <c r="M15" s="2">
        <f t="shared" si="8"/>
        <v>14</v>
      </c>
      <c r="N15" s="3">
        <f t="shared" si="9"/>
        <v>43677</v>
      </c>
      <c r="O15" t="s">
        <v>203</v>
      </c>
      <c r="P15">
        <f t="shared" si="0"/>
        <v>1028</v>
      </c>
      <c r="Q15" s="6">
        <f t="shared" si="1"/>
        <v>4</v>
      </c>
      <c r="R15" s="5">
        <f t="shared" si="2"/>
        <v>138052.07999999999</v>
      </c>
      <c r="T15" s="5">
        <f t="shared" si="3"/>
        <v>0</v>
      </c>
      <c r="U15">
        <f t="shared" si="10"/>
        <v>0</v>
      </c>
      <c r="V15">
        <f t="shared" si="11"/>
        <v>40</v>
      </c>
      <c r="W15" t="str">
        <f t="shared" si="4"/>
        <v xml:space="preserve">SUELDOS                                 </v>
      </c>
      <c r="X15">
        <f t="shared" si="5"/>
        <v>7</v>
      </c>
      <c r="Y15" t="str">
        <f t="shared" si="6"/>
        <v xml:space="preserve"> </v>
      </c>
      <c r="AB15" t="str">
        <f t="shared" si="7"/>
        <v>SUELDOS</v>
      </c>
    </row>
    <row r="16" spans="1:28" ht="15.75" x14ac:dyDescent="0.25">
      <c r="A16" s="17">
        <v>5110501</v>
      </c>
      <c r="B16" s="17" t="s">
        <v>25</v>
      </c>
      <c r="C16" s="1">
        <v>4</v>
      </c>
      <c r="D16" s="10">
        <v>138052.07999999999</v>
      </c>
      <c r="E16" s="11"/>
      <c r="F16">
        <v>211413</v>
      </c>
      <c r="G16" t="s">
        <v>21</v>
      </c>
      <c r="H16">
        <v>1514</v>
      </c>
      <c r="I16">
        <v>1</v>
      </c>
      <c r="L16">
        <v>88888</v>
      </c>
      <c r="M16" s="2">
        <f t="shared" si="8"/>
        <v>15</v>
      </c>
      <c r="N16" s="3">
        <f t="shared" si="9"/>
        <v>43677</v>
      </c>
      <c r="O16" t="s">
        <v>143</v>
      </c>
      <c r="P16">
        <f t="shared" si="0"/>
        <v>1029</v>
      </c>
      <c r="Q16" s="6">
        <f t="shared" si="1"/>
        <v>4</v>
      </c>
      <c r="R16" s="5">
        <f t="shared" si="2"/>
        <v>86625.191023999985</v>
      </c>
      <c r="T16" s="5">
        <f t="shared" si="3"/>
        <v>0</v>
      </c>
      <c r="U16">
        <f t="shared" si="10"/>
        <v>0</v>
      </c>
      <c r="V16">
        <f t="shared" si="11"/>
        <v>40</v>
      </c>
      <c r="W16" t="str">
        <f t="shared" si="4"/>
        <v xml:space="preserve">CARGAS SOCIALES                         </v>
      </c>
      <c r="X16">
        <f t="shared" si="5"/>
        <v>15</v>
      </c>
      <c r="Y16" t="str">
        <f t="shared" si="6"/>
        <v xml:space="preserve"> </v>
      </c>
      <c r="AB16" t="str">
        <f t="shared" si="7"/>
        <v>CARGAS SOCIALES</v>
      </c>
    </row>
    <row r="17" spans="1:28" ht="15.75" x14ac:dyDescent="0.25">
      <c r="A17" s="17">
        <v>5110502</v>
      </c>
      <c r="B17" s="17" t="s">
        <v>27</v>
      </c>
      <c r="C17" s="1">
        <v>4</v>
      </c>
      <c r="D17" s="10">
        <v>86625.191023999985</v>
      </c>
      <c r="E17" s="11"/>
      <c r="F17">
        <v>211414</v>
      </c>
      <c r="G17" t="s">
        <v>22</v>
      </c>
      <c r="H17">
        <v>1696</v>
      </c>
      <c r="I17">
        <v>1</v>
      </c>
      <c r="L17">
        <v>88888</v>
      </c>
      <c r="M17" s="2">
        <f t="shared" si="8"/>
        <v>16</v>
      </c>
      <c r="N17" s="3">
        <f t="shared" si="9"/>
        <v>43677</v>
      </c>
      <c r="O17" t="s">
        <v>302</v>
      </c>
      <c r="P17">
        <f t="shared" si="0"/>
        <v>2032</v>
      </c>
      <c r="Q17" s="6">
        <f t="shared" si="1"/>
        <v>4</v>
      </c>
      <c r="R17" s="5">
        <f t="shared" si="2"/>
        <v>88592.45</v>
      </c>
      <c r="T17" s="5">
        <f t="shared" si="3"/>
        <v>0</v>
      </c>
      <c r="U17">
        <f t="shared" si="10"/>
        <v>0</v>
      </c>
      <c r="V17">
        <f t="shared" si="11"/>
        <v>40</v>
      </c>
      <c r="W17" t="str">
        <f t="shared" si="4"/>
        <v xml:space="preserve">SAC                                     </v>
      </c>
      <c r="X17">
        <f t="shared" si="5"/>
        <v>3</v>
      </c>
      <c r="Y17" t="str">
        <f t="shared" si="6"/>
        <v xml:space="preserve"> </v>
      </c>
      <c r="AB17" t="str">
        <f t="shared" si="7"/>
        <v>SAC</v>
      </c>
    </row>
    <row r="18" spans="1:28" ht="15.75" x14ac:dyDescent="0.25">
      <c r="A18" s="17">
        <v>5110513</v>
      </c>
      <c r="B18" s="17" t="s">
        <v>274</v>
      </c>
      <c r="C18" s="1">
        <v>4</v>
      </c>
      <c r="D18" s="10">
        <v>88592.45</v>
      </c>
      <c r="E18" s="11"/>
      <c r="F18">
        <v>211507</v>
      </c>
      <c r="G18" t="s">
        <v>23</v>
      </c>
      <c r="H18">
        <v>193</v>
      </c>
      <c r="I18">
        <v>1</v>
      </c>
      <c r="L18">
        <v>88888</v>
      </c>
      <c r="M18" s="2">
        <f t="shared" si="8"/>
        <v>17</v>
      </c>
      <c r="N18" s="3">
        <f t="shared" si="9"/>
        <v>43677</v>
      </c>
      <c r="O18" t="s">
        <v>288</v>
      </c>
      <c r="P18">
        <f t="shared" si="0"/>
        <v>2035</v>
      </c>
      <c r="Q18" s="6">
        <f t="shared" si="1"/>
        <v>4</v>
      </c>
      <c r="R18" s="5">
        <f t="shared" si="2"/>
        <v>16496.27</v>
      </c>
      <c r="T18" s="5">
        <f t="shared" si="3"/>
        <v>0</v>
      </c>
      <c r="U18">
        <f t="shared" si="10"/>
        <v>0</v>
      </c>
      <c r="V18">
        <f t="shared" si="11"/>
        <v>40</v>
      </c>
      <c r="W18" t="str">
        <f t="shared" si="4"/>
        <v xml:space="preserve">HORAS EXTRAS                            </v>
      </c>
      <c r="X18">
        <f t="shared" si="5"/>
        <v>12</v>
      </c>
      <c r="Y18" t="str">
        <f t="shared" si="6"/>
        <v xml:space="preserve"> </v>
      </c>
      <c r="AB18" t="str">
        <f t="shared" si="7"/>
        <v>HORAS EXTRAS</v>
      </c>
    </row>
    <row r="19" spans="1:28" ht="15.75" x14ac:dyDescent="0.25">
      <c r="A19" s="17">
        <v>5110516</v>
      </c>
      <c r="B19" s="17" t="s">
        <v>277</v>
      </c>
      <c r="C19" s="1">
        <v>4</v>
      </c>
      <c r="D19" s="10">
        <v>16496.27</v>
      </c>
      <c r="E19" s="11"/>
      <c r="F19">
        <v>211512</v>
      </c>
      <c r="G19" t="s">
        <v>24</v>
      </c>
      <c r="H19">
        <v>1401</v>
      </c>
      <c r="I19">
        <v>1</v>
      </c>
      <c r="L19">
        <v>88888</v>
      </c>
      <c r="M19" s="2">
        <f t="shared" si="8"/>
        <v>18</v>
      </c>
      <c r="N19" s="3">
        <f t="shared" si="9"/>
        <v>43677</v>
      </c>
      <c r="O19" t="s">
        <v>204</v>
      </c>
      <c r="P19">
        <f t="shared" si="0"/>
        <v>1081</v>
      </c>
      <c r="Q19" s="6">
        <f t="shared" si="1"/>
        <v>4</v>
      </c>
      <c r="R19" s="5">
        <f t="shared" si="2"/>
        <v>0.81</v>
      </c>
      <c r="T19" s="5">
        <f t="shared" si="3"/>
        <v>0</v>
      </c>
      <c r="U19">
        <f t="shared" si="10"/>
        <v>0</v>
      </c>
      <c r="V19">
        <f t="shared" si="11"/>
        <v>40</v>
      </c>
      <c r="W19" t="str">
        <f t="shared" si="4"/>
        <v xml:space="preserve">OTROS GASTOS EN PERSONAL                </v>
      </c>
      <c r="X19">
        <f t="shared" si="5"/>
        <v>24</v>
      </c>
      <c r="Y19" t="str">
        <f t="shared" si="6"/>
        <v xml:space="preserve"> </v>
      </c>
      <c r="AB19" t="str">
        <f t="shared" si="7"/>
        <v>OTROS GASTOS EN PERSONAL</v>
      </c>
    </row>
    <row r="20" spans="1:28" ht="15.75" x14ac:dyDescent="0.25">
      <c r="A20" s="17">
        <v>5111501</v>
      </c>
      <c r="B20" s="17" t="s">
        <v>32</v>
      </c>
      <c r="C20" s="1">
        <v>4</v>
      </c>
      <c r="D20" s="10">
        <v>0.81</v>
      </c>
      <c r="E20" s="11"/>
      <c r="F20">
        <v>5110501</v>
      </c>
      <c r="G20" t="s">
        <v>25</v>
      </c>
      <c r="H20">
        <v>1028</v>
      </c>
      <c r="I20" t="s">
        <v>26</v>
      </c>
      <c r="L20">
        <v>88888</v>
      </c>
      <c r="M20" s="2">
        <f t="shared" si="8"/>
        <v>19</v>
      </c>
      <c r="N20" s="3">
        <f t="shared" si="9"/>
        <v>43677</v>
      </c>
      <c r="O20" t="s">
        <v>203</v>
      </c>
      <c r="P20">
        <f t="shared" si="0"/>
        <v>1028</v>
      </c>
      <c r="Q20" s="6">
        <f t="shared" si="1"/>
        <v>5</v>
      </c>
      <c r="R20" s="5">
        <f t="shared" si="2"/>
        <v>1400106.2183333333</v>
      </c>
      <c r="T20" s="5">
        <f t="shared" si="3"/>
        <v>0</v>
      </c>
      <c r="U20">
        <f t="shared" si="10"/>
        <v>0</v>
      </c>
      <c r="V20">
        <f t="shared" si="11"/>
        <v>40</v>
      </c>
      <c r="W20" t="str">
        <f t="shared" si="4"/>
        <v xml:space="preserve">SUELDOS                                 </v>
      </c>
      <c r="X20">
        <f t="shared" si="5"/>
        <v>7</v>
      </c>
      <c r="Y20" t="str">
        <f t="shared" si="6"/>
        <v xml:space="preserve"> </v>
      </c>
      <c r="AB20" t="str">
        <f t="shared" si="7"/>
        <v>SUELDOS</v>
      </c>
    </row>
    <row r="21" spans="1:28" ht="15.75" x14ac:dyDescent="0.25">
      <c r="A21" s="17">
        <v>5110501</v>
      </c>
      <c r="B21" s="17" t="s">
        <v>25</v>
      </c>
      <c r="C21" s="1">
        <v>5</v>
      </c>
      <c r="D21" s="10">
        <v>1400106.2183333333</v>
      </c>
      <c r="E21" s="11"/>
      <c r="F21">
        <v>5110502</v>
      </c>
      <c r="G21" t="s">
        <v>27</v>
      </c>
      <c r="H21">
        <v>1029</v>
      </c>
      <c r="I21" t="s">
        <v>26</v>
      </c>
      <c r="L21">
        <v>88888</v>
      </c>
      <c r="M21" s="2">
        <f t="shared" ref="M21:M62" si="12">+M20+1</f>
        <v>20</v>
      </c>
      <c r="N21" s="3">
        <f t="shared" ref="N21:N62" si="13">+A$1</f>
        <v>43677</v>
      </c>
      <c r="O21" t="s">
        <v>143</v>
      </c>
      <c r="P21">
        <f t="shared" si="0"/>
        <v>1029</v>
      </c>
      <c r="Q21" s="6">
        <f t="shared" ref="Q21:Q62" si="14">+C22</f>
        <v>5</v>
      </c>
      <c r="R21" s="5">
        <f t="shared" ref="R21:R62" si="15">+D22</f>
        <v>950756.05296199978</v>
      </c>
      <c r="T21" s="5">
        <f t="shared" ref="T21:T62" si="16">+E22</f>
        <v>0</v>
      </c>
      <c r="U21">
        <f t="shared" ref="U21:U62" si="17">LEN(S21)</f>
        <v>0</v>
      </c>
      <c r="V21">
        <f t="shared" ref="V21:V62" si="18">LEN(O21)</f>
        <v>40</v>
      </c>
      <c r="W21" t="str">
        <f t="shared" ref="W21:W62" si="19">AB21 &amp; REPT(" ",(40-X21))</f>
        <v xml:space="preserve">CARGAS SOCIALES                         </v>
      </c>
      <c r="X21">
        <f t="shared" ref="X21:X62" si="20">LEN(AB21)</f>
        <v>15</v>
      </c>
      <c r="Y21" t="str">
        <f t="shared" ref="Y21:Y62" si="21">S21 &amp; REPT(" ",(1-U21))</f>
        <v xml:space="preserve"> </v>
      </c>
      <c r="AB21" t="str">
        <f t="shared" si="7"/>
        <v>CARGAS SOCIALES</v>
      </c>
    </row>
    <row r="22" spans="1:28" ht="15.75" x14ac:dyDescent="0.25">
      <c r="A22" s="17">
        <v>5110502</v>
      </c>
      <c r="B22" s="17" t="s">
        <v>27</v>
      </c>
      <c r="C22" s="1">
        <v>5</v>
      </c>
      <c r="D22" s="10">
        <v>950756.05296199978</v>
      </c>
      <c r="E22" s="11"/>
      <c r="F22">
        <v>5110503</v>
      </c>
      <c r="G22" t="s">
        <v>28</v>
      </c>
      <c r="H22">
        <v>1030</v>
      </c>
      <c r="I22">
        <v>1</v>
      </c>
      <c r="L22">
        <v>88888</v>
      </c>
      <c r="M22" s="2">
        <f t="shared" si="12"/>
        <v>21</v>
      </c>
      <c r="N22" s="3">
        <f t="shared" si="13"/>
        <v>43677</v>
      </c>
      <c r="O22" t="s">
        <v>302</v>
      </c>
      <c r="P22">
        <f t="shared" si="0"/>
        <v>2032</v>
      </c>
      <c r="Q22" s="6">
        <f t="shared" si="14"/>
        <v>5</v>
      </c>
      <c r="R22" s="5">
        <f t="shared" si="15"/>
        <v>849296.85</v>
      </c>
      <c r="T22" s="5">
        <f t="shared" si="16"/>
        <v>0</v>
      </c>
      <c r="U22">
        <f t="shared" si="17"/>
        <v>0</v>
      </c>
      <c r="V22">
        <f t="shared" si="18"/>
        <v>40</v>
      </c>
      <c r="W22" t="str">
        <f t="shared" si="19"/>
        <v xml:space="preserve">SAC                                     </v>
      </c>
      <c r="X22">
        <f t="shared" si="20"/>
        <v>3</v>
      </c>
      <c r="Y22" t="str">
        <f t="shared" si="21"/>
        <v xml:space="preserve"> </v>
      </c>
      <c r="AB22" t="str">
        <f t="shared" si="7"/>
        <v>SAC</v>
      </c>
    </row>
    <row r="23" spans="1:28" ht="15.75" x14ac:dyDescent="0.25">
      <c r="A23" s="17">
        <v>5110513</v>
      </c>
      <c r="B23" s="17" t="s">
        <v>274</v>
      </c>
      <c r="C23" s="1">
        <v>5</v>
      </c>
      <c r="D23" s="10">
        <v>849296.85</v>
      </c>
      <c r="E23" s="11"/>
      <c r="F23">
        <v>5110504</v>
      </c>
      <c r="G23" t="s">
        <v>29</v>
      </c>
      <c r="H23">
        <v>1031</v>
      </c>
      <c r="I23">
        <v>1</v>
      </c>
      <c r="L23">
        <v>88888</v>
      </c>
      <c r="M23" s="2">
        <f t="shared" si="12"/>
        <v>22</v>
      </c>
      <c r="N23" s="3">
        <f t="shared" si="13"/>
        <v>43677</v>
      </c>
      <c r="O23" t="s">
        <v>289</v>
      </c>
      <c r="P23">
        <f t="shared" si="0"/>
        <v>2033</v>
      </c>
      <c r="Q23" s="6">
        <f t="shared" si="14"/>
        <v>5</v>
      </c>
      <c r="R23" s="5">
        <f t="shared" si="15"/>
        <v>23254.32</v>
      </c>
      <c r="T23" s="5">
        <f t="shared" si="16"/>
        <v>0</v>
      </c>
      <c r="U23">
        <f t="shared" si="17"/>
        <v>0</v>
      </c>
      <c r="V23">
        <f t="shared" si="18"/>
        <v>40</v>
      </c>
      <c r="W23" t="str">
        <f t="shared" si="19"/>
        <v xml:space="preserve">VACACIONES                              </v>
      </c>
      <c r="X23">
        <f t="shared" si="20"/>
        <v>10</v>
      </c>
      <c r="Y23" t="str">
        <f t="shared" si="21"/>
        <v xml:space="preserve"> </v>
      </c>
      <c r="AB23" t="str">
        <f t="shared" si="7"/>
        <v>VACACIONES</v>
      </c>
    </row>
    <row r="24" spans="1:28" ht="15.75" x14ac:dyDescent="0.25">
      <c r="A24" s="17">
        <v>5110514</v>
      </c>
      <c r="B24" s="17" t="s">
        <v>275</v>
      </c>
      <c r="C24" s="1">
        <v>5</v>
      </c>
      <c r="D24" s="10">
        <v>23254.32</v>
      </c>
      <c r="E24" s="11"/>
      <c r="F24">
        <v>5110505</v>
      </c>
      <c r="G24" t="s">
        <v>30</v>
      </c>
      <c r="H24">
        <v>1032</v>
      </c>
      <c r="I24">
        <v>1</v>
      </c>
      <c r="L24">
        <v>88888</v>
      </c>
      <c r="M24" s="2">
        <f t="shared" si="12"/>
        <v>23</v>
      </c>
      <c r="N24" s="3">
        <f t="shared" si="13"/>
        <v>43677</v>
      </c>
      <c r="O24" t="s">
        <v>287</v>
      </c>
      <c r="P24">
        <f t="shared" si="0"/>
        <v>2034</v>
      </c>
      <c r="Q24" s="6">
        <f t="shared" si="14"/>
        <v>5</v>
      </c>
      <c r="R24" s="5">
        <f t="shared" si="15"/>
        <v>98084.111666666664</v>
      </c>
      <c r="T24" s="5">
        <f t="shared" si="16"/>
        <v>0</v>
      </c>
      <c r="U24">
        <f t="shared" si="17"/>
        <v>0</v>
      </c>
      <c r="V24">
        <f t="shared" si="18"/>
        <v>40</v>
      </c>
      <c r="W24" t="str">
        <f t="shared" si="19"/>
        <v xml:space="preserve">BAE                                     </v>
      </c>
      <c r="X24">
        <f t="shared" si="20"/>
        <v>3</v>
      </c>
      <c r="Y24" t="str">
        <f t="shared" si="21"/>
        <v xml:space="preserve"> </v>
      </c>
      <c r="AB24" t="str">
        <f t="shared" si="7"/>
        <v>BAE</v>
      </c>
    </row>
    <row r="25" spans="1:28" ht="15.75" x14ac:dyDescent="0.25">
      <c r="A25" s="17">
        <v>5110515</v>
      </c>
      <c r="B25" s="17" t="s">
        <v>276</v>
      </c>
      <c r="C25" s="1">
        <v>5</v>
      </c>
      <c r="D25" s="10">
        <v>98084.111666666664</v>
      </c>
      <c r="E25" s="11"/>
      <c r="F25">
        <v>5110506</v>
      </c>
      <c r="G25" t="s">
        <v>31</v>
      </c>
      <c r="H25">
        <v>1033</v>
      </c>
      <c r="I25">
        <v>1</v>
      </c>
      <c r="L25">
        <v>88888</v>
      </c>
      <c r="M25" s="2">
        <f t="shared" si="12"/>
        <v>24</v>
      </c>
      <c r="N25" s="3">
        <f t="shared" si="13"/>
        <v>43677</v>
      </c>
      <c r="O25" t="s">
        <v>288</v>
      </c>
      <c r="P25">
        <f t="shared" si="0"/>
        <v>2035</v>
      </c>
      <c r="Q25" s="6">
        <f t="shared" si="14"/>
        <v>5</v>
      </c>
      <c r="R25" s="5">
        <f t="shared" si="15"/>
        <v>155697.4</v>
      </c>
      <c r="T25" s="5">
        <f t="shared" si="16"/>
        <v>0</v>
      </c>
      <c r="U25">
        <f t="shared" si="17"/>
        <v>0</v>
      </c>
      <c r="V25">
        <f t="shared" si="18"/>
        <v>40</v>
      </c>
      <c r="W25" t="str">
        <f t="shared" si="19"/>
        <v xml:space="preserve">HORAS EXTRAS                            </v>
      </c>
      <c r="X25">
        <f t="shared" si="20"/>
        <v>12</v>
      </c>
      <c r="Y25" t="str">
        <f t="shared" si="21"/>
        <v xml:space="preserve"> </v>
      </c>
      <c r="AB25" t="str">
        <f t="shared" si="7"/>
        <v>HORAS EXTRAS</v>
      </c>
    </row>
    <row r="26" spans="1:28" ht="15.75" x14ac:dyDescent="0.25">
      <c r="A26" s="17">
        <v>5110516</v>
      </c>
      <c r="B26" s="17" t="s">
        <v>277</v>
      </c>
      <c r="C26" s="1">
        <v>5</v>
      </c>
      <c r="D26" s="10">
        <v>155697.4</v>
      </c>
      <c r="E26" s="11"/>
      <c r="F26">
        <v>5110507</v>
      </c>
      <c r="G26" t="s">
        <v>0</v>
      </c>
      <c r="H26">
        <v>1034</v>
      </c>
      <c r="I26">
        <v>1</v>
      </c>
      <c r="L26">
        <v>88888</v>
      </c>
      <c r="M26" s="2">
        <f t="shared" si="12"/>
        <v>25</v>
      </c>
      <c r="N26" s="3">
        <f t="shared" si="13"/>
        <v>43677</v>
      </c>
      <c r="O26" t="s">
        <v>204</v>
      </c>
      <c r="P26">
        <f t="shared" si="0"/>
        <v>1081</v>
      </c>
      <c r="Q26" s="6">
        <f t="shared" si="14"/>
        <v>5</v>
      </c>
      <c r="R26" s="5">
        <f t="shared" si="15"/>
        <v>4309.2</v>
      </c>
      <c r="T26" s="5">
        <f t="shared" si="16"/>
        <v>0</v>
      </c>
      <c r="U26">
        <f t="shared" si="17"/>
        <v>0</v>
      </c>
      <c r="V26">
        <f t="shared" si="18"/>
        <v>40</v>
      </c>
      <c r="W26" t="str">
        <f t="shared" si="19"/>
        <v xml:space="preserve">OTROS GASTOS EN PERSONAL                </v>
      </c>
      <c r="X26">
        <f t="shared" si="20"/>
        <v>24</v>
      </c>
      <c r="Y26" t="str">
        <f t="shared" si="21"/>
        <v xml:space="preserve"> </v>
      </c>
      <c r="AB26" t="str">
        <f t="shared" si="7"/>
        <v>OTROS GASTOS EN PERSONAL</v>
      </c>
    </row>
    <row r="27" spans="1:28" ht="15.75" x14ac:dyDescent="0.25">
      <c r="A27" s="17">
        <v>5111501</v>
      </c>
      <c r="B27" s="17" t="s">
        <v>32</v>
      </c>
      <c r="C27" s="1">
        <v>5</v>
      </c>
      <c r="D27" s="10">
        <v>4309.2</v>
      </c>
      <c r="E27" s="11"/>
      <c r="F27">
        <v>5110513</v>
      </c>
      <c r="G27" t="s">
        <v>274</v>
      </c>
      <c r="H27">
        <v>2032</v>
      </c>
      <c r="I27">
        <v>1</v>
      </c>
      <c r="L27">
        <v>88888</v>
      </c>
      <c r="M27" s="2">
        <f t="shared" si="12"/>
        <v>26</v>
      </c>
      <c r="N27" s="3">
        <f t="shared" si="13"/>
        <v>43677</v>
      </c>
      <c r="O27" t="s">
        <v>203</v>
      </c>
      <c r="P27">
        <f t="shared" si="0"/>
        <v>1028</v>
      </c>
      <c r="Q27" s="6">
        <f t="shared" si="14"/>
        <v>6</v>
      </c>
      <c r="R27" s="5">
        <f t="shared" si="15"/>
        <v>497541.77</v>
      </c>
      <c r="T27" s="5">
        <f t="shared" si="16"/>
        <v>0</v>
      </c>
      <c r="U27">
        <f t="shared" si="17"/>
        <v>0</v>
      </c>
      <c r="V27">
        <f t="shared" si="18"/>
        <v>40</v>
      </c>
      <c r="W27" t="str">
        <f t="shared" si="19"/>
        <v xml:space="preserve">SUELDOS                                 </v>
      </c>
      <c r="X27">
        <f t="shared" si="20"/>
        <v>7</v>
      </c>
      <c r="Y27" t="str">
        <f t="shared" si="21"/>
        <v xml:space="preserve"> </v>
      </c>
      <c r="AB27" t="str">
        <f t="shared" si="7"/>
        <v>SUELDOS</v>
      </c>
    </row>
    <row r="28" spans="1:28" ht="15.75" x14ac:dyDescent="0.25">
      <c r="A28" s="17">
        <v>5110501</v>
      </c>
      <c r="B28" s="17" t="s">
        <v>25</v>
      </c>
      <c r="C28" s="1">
        <v>6</v>
      </c>
      <c r="D28" s="10">
        <v>497541.77</v>
      </c>
      <c r="E28" s="11"/>
      <c r="F28">
        <v>5110514</v>
      </c>
      <c r="G28" t="s">
        <v>275</v>
      </c>
      <c r="H28">
        <v>2033</v>
      </c>
      <c r="I28">
        <v>1</v>
      </c>
      <c r="L28">
        <v>88888</v>
      </c>
      <c r="M28" s="2">
        <f t="shared" si="12"/>
        <v>27</v>
      </c>
      <c r="N28" s="3">
        <f t="shared" si="13"/>
        <v>43677</v>
      </c>
      <c r="O28" t="s">
        <v>143</v>
      </c>
      <c r="P28">
        <f t="shared" si="0"/>
        <v>1029</v>
      </c>
      <c r="Q28" s="6">
        <f t="shared" si="14"/>
        <v>6</v>
      </c>
      <c r="R28" s="5">
        <f t="shared" si="15"/>
        <v>295918.2648152</v>
      </c>
      <c r="T28" s="5">
        <f t="shared" si="16"/>
        <v>0</v>
      </c>
      <c r="U28">
        <f t="shared" si="17"/>
        <v>0</v>
      </c>
      <c r="V28">
        <f t="shared" si="18"/>
        <v>40</v>
      </c>
      <c r="W28" t="str">
        <f t="shared" si="19"/>
        <v xml:space="preserve">CARGAS SOCIALES                         </v>
      </c>
      <c r="X28">
        <f t="shared" si="20"/>
        <v>15</v>
      </c>
      <c r="Y28" t="str">
        <f t="shared" si="21"/>
        <v xml:space="preserve"> </v>
      </c>
      <c r="AB28" t="str">
        <f t="shared" si="7"/>
        <v>CARGAS SOCIALES</v>
      </c>
    </row>
    <row r="29" spans="1:28" ht="15.75" x14ac:dyDescent="0.25">
      <c r="A29" s="17">
        <v>5110502</v>
      </c>
      <c r="B29" s="17" t="s">
        <v>27</v>
      </c>
      <c r="C29" s="1">
        <v>6</v>
      </c>
      <c r="D29" s="10">
        <v>295918.2648152</v>
      </c>
      <c r="E29" s="11"/>
      <c r="F29">
        <v>5110515</v>
      </c>
      <c r="G29" t="s">
        <v>276</v>
      </c>
      <c r="H29">
        <v>2034</v>
      </c>
      <c r="I29">
        <v>1</v>
      </c>
      <c r="L29">
        <v>88888</v>
      </c>
      <c r="M29" s="2">
        <f t="shared" si="12"/>
        <v>28</v>
      </c>
      <c r="N29" s="3">
        <f t="shared" si="13"/>
        <v>43677</v>
      </c>
      <c r="O29" t="s">
        <v>302</v>
      </c>
      <c r="P29">
        <f t="shared" si="0"/>
        <v>2032</v>
      </c>
      <c r="Q29" s="6">
        <f t="shared" si="14"/>
        <v>6</v>
      </c>
      <c r="R29" s="5">
        <f t="shared" si="15"/>
        <v>292290.84000000003</v>
      </c>
      <c r="T29" s="5">
        <f t="shared" si="16"/>
        <v>0</v>
      </c>
      <c r="U29">
        <f t="shared" si="17"/>
        <v>0</v>
      </c>
      <c r="V29">
        <f t="shared" si="18"/>
        <v>40</v>
      </c>
      <c r="W29" t="str">
        <f t="shared" si="19"/>
        <v xml:space="preserve">SAC                                     </v>
      </c>
      <c r="X29">
        <f t="shared" si="20"/>
        <v>3</v>
      </c>
      <c r="Y29" t="str">
        <f t="shared" si="21"/>
        <v xml:space="preserve"> </v>
      </c>
      <c r="AB29" t="str">
        <f t="shared" si="7"/>
        <v>SAC</v>
      </c>
    </row>
    <row r="30" spans="1:28" ht="15.75" x14ac:dyDescent="0.25">
      <c r="A30" s="17">
        <v>5110513</v>
      </c>
      <c r="B30" s="17" t="s">
        <v>274</v>
      </c>
      <c r="C30" s="1">
        <v>6</v>
      </c>
      <c r="D30" s="10">
        <v>292290.84000000003</v>
      </c>
      <c r="E30" s="11"/>
      <c r="F30">
        <v>5110516</v>
      </c>
      <c r="G30" t="s">
        <v>277</v>
      </c>
      <c r="H30">
        <v>2035</v>
      </c>
      <c r="I30">
        <v>1</v>
      </c>
      <c r="L30">
        <v>88888</v>
      </c>
      <c r="M30" s="2">
        <f t="shared" si="12"/>
        <v>29</v>
      </c>
      <c r="N30" s="3">
        <f t="shared" si="13"/>
        <v>43677</v>
      </c>
      <c r="O30" t="s">
        <v>288</v>
      </c>
      <c r="P30">
        <f t="shared" si="0"/>
        <v>2035</v>
      </c>
      <c r="Q30" s="6">
        <f t="shared" si="14"/>
        <v>6</v>
      </c>
      <c r="R30" s="5">
        <f t="shared" si="15"/>
        <v>388.63</v>
      </c>
      <c r="T30" s="5">
        <f t="shared" si="16"/>
        <v>0</v>
      </c>
      <c r="U30">
        <f t="shared" si="17"/>
        <v>0</v>
      </c>
      <c r="V30">
        <f t="shared" si="18"/>
        <v>40</v>
      </c>
      <c r="W30" t="str">
        <f t="shared" si="19"/>
        <v xml:space="preserve">HORAS EXTRAS                            </v>
      </c>
      <c r="X30">
        <f t="shared" si="20"/>
        <v>12</v>
      </c>
      <c r="Y30" t="str">
        <f t="shared" si="21"/>
        <v xml:space="preserve"> </v>
      </c>
      <c r="AB30" t="str">
        <f t="shared" si="7"/>
        <v>HORAS EXTRAS</v>
      </c>
    </row>
    <row r="31" spans="1:28" ht="15.75" x14ac:dyDescent="0.25">
      <c r="A31" s="17">
        <v>5110516</v>
      </c>
      <c r="B31" s="17" t="s">
        <v>277</v>
      </c>
      <c r="C31" s="1">
        <v>6</v>
      </c>
      <c r="D31" s="10">
        <v>388.63</v>
      </c>
      <c r="E31" s="11"/>
      <c r="F31">
        <v>5111501</v>
      </c>
      <c r="G31" t="s">
        <v>32</v>
      </c>
      <c r="H31">
        <v>1081</v>
      </c>
      <c r="I31" t="s">
        <v>26</v>
      </c>
      <c r="L31">
        <v>88888</v>
      </c>
      <c r="M31" s="2">
        <f t="shared" si="12"/>
        <v>30</v>
      </c>
      <c r="N31" s="3">
        <f t="shared" si="13"/>
        <v>43677</v>
      </c>
      <c r="O31" t="s">
        <v>204</v>
      </c>
      <c r="P31">
        <f t="shared" si="0"/>
        <v>1081</v>
      </c>
      <c r="Q31" s="6">
        <f t="shared" si="14"/>
        <v>6</v>
      </c>
      <c r="R31" s="5">
        <f t="shared" si="15"/>
        <v>4302.24</v>
      </c>
      <c r="T31" s="5">
        <f t="shared" si="16"/>
        <v>0</v>
      </c>
      <c r="U31">
        <f t="shared" si="17"/>
        <v>0</v>
      </c>
      <c r="V31">
        <f t="shared" si="18"/>
        <v>40</v>
      </c>
      <c r="W31" t="str">
        <f t="shared" si="19"/>
        <v xml:space="preserve">OTROS GASTOS EN PERSONAL                </v>
      </c>
      <c r="X31">
        <f t="shared" si="20"/>
        <v>24</v>
      </c>
      <c r="Y31" t="str">
        <f t="shared" si="21"/>
        <v xml:space="preserve"> </v>
      </c>
      <c r="AB31" t="str">
        <f t="shared" si="7"/>
        <v>OTROS GASTOS EN PERSONAL</v>
      </c>
    </row>
    <row r="32" spans="1:28" ht="15.75" x14ac:dyDescent="0.25">
      <c r="A32" s="17">
        <v>5111501</v>
      </c>
      <c r="B32" s="17" t="s">
        <v>32</v>
      </c>
      <c r="C32" s="1">
        <v>6</v>
      </c>
      <c r="D32" s="10">
        <v>4302.24</v>
      </c>
      <c r="E32" s="11"/>
      <c r="F32">
        <v>11110301</v>
      </c>
      <c r="G32" t="s">
        <v>273</v>
      </c>
      <c r="H32">
        <v>32</v>
      </c>
      <c r="I32">
        <v>1</v>
      </c>
      <c r="L32">
        <v>88888</v>
      </c>
      <c r="M32" s="2">
        <f t="shared" si="12"/>
        <v>31</v>
      </c>
      <c r="N32" s="3">
        <f t="shared" si="13"/>
        <v>43677</v>
      </c>
      <c r="O32" t="s">
        <v>203</v>
      </c>
      <c r="P32">
        <f t="shared" si="0"/>
        <v>1028</v>
      </c>
      <c r="Q32" s="6">
        <f t="shared" si="14"/>
        <v>7</v>
      </c>
      <c r="R32" s="5">
        <f t="shared" si="15"/>
        <v>195308.66416666668</v>
      </c>
      <c r="T32" s="5">
        <f t="shared" si="16"/>
        <v>0</v>
      </c>
      <c r="U32">
        <f t="shared" si="17"/>
        <v>0</v>
      </c>
      <c r="V32">
        <f t="shared" si="18"/>
        <v>40</v>
      </c>
      <c r="W32" t="str">
        <f t="shared" si="19"/>
        <v xml:space="preserve">SUELDOS                                 </v>
      </c>
      <c r="X32">
        <f t="shared" si="20"/>
        <v>7</v>
      </c>
      <c r="Y32" t="str">
        <f t="shared" si="21"/>
        <v xml:space="preserve"> </v>
      </c>
      <c r="AB32" t="str">
        <f t="shared" si="7"/>
        <v>SUELDOS</v>
      </c>
    </row>
    <row r="33" spans="1:28" ht="15.75" x14ac:dyDescent="0.25">
      <c r="A33" s="17">
        <v>5110501</v>
      </c>
      <c r="B33" s="17" t="s">
        <v>25</v>
      </c>
      <c r="C33" s="1">
        <v>7</v>
      </c>
      <c r="D33" s="10">
        <v>195308.66416666668</v>
      </c>
      <c r="E33" s="11"/>
      <c r="F33">
        <v>11110302</v>
      </c>
      <c r="G33" t="s">
        <v>33</v>
      </c>
      <c r="H33">
        <v>216</v>
      </c>
      <c r="I33">
        <v>1</v>
      </c>
      <c r="L33">
        <v>88888</v>
      </c>
      <c r="M33" s="2">
        <f t="shared" si="12"/>
        <v>32</v>
      </c>
      <c r="N33" s="3">
        <f t="shared" si="13"/>
        <v>43677</v>
      </c>
      <c r="O33" t="s">
        <v>143</v>
      </c>
      <c r="P33">
        <f t="shared" si="0"/>
        <v>1029</v>
      </c>
      <c r="Q33" s="6">
        <f t="shared" si="14"/>
        <v>7</v>
      </c>
      <c r="R33" s="5">
        <f t="shared" si="15"/>
        <v>330871.64237239998</v>
      </c>
      <c r="T33" s="5">
        <f t="shared" si="16"/>
        <v>0</v>
      </c>
      <c r="U33">
        <f t="shared" si="17"/>
        <v>0</v>
      </c>
      <c r="V33">
        <f t="shared" si="18"/>
        <v>40</v>
      </c>
      <c r="W33" t="str">
        <f t="shared" si="19"/>
        <v xml:space="preserve">CARGAS SOCIALES                         </v>
      </c>
      <c r="X33">
        <f t="shared" si="20"/>
        <v>15</v>
      </c>
      <c r="Y33" t="str">
        <f t="shared" si="21"/>
        <v xml:space="preserve"> </v>
      </c>
      <c r="AB33" t="str">
        <f t="shared" si="7"/>
        <v>CARGAS SOCIALES</v>
      </c>
    </row>
    <row r="34" spans="1:28" ht="15.75" x14ac:dyDescent="0.25">
      <c r="A34" s="17">
        <v>5110502</v>
      </c>
      <c r="B34" s="17" t="s">
        <v>27</v>
      </c>
      <c r="C34" s="1">
        <v>7</v>
      </c>
      <c r="D34" s="10">
        <v>330871.64237239998</v>
      </c>
      <c r="E34" s="11"/>
      <c r="F34">
        <v>11110303</v>
      </c>
      <c r="G34" t="s">
        <v>34</v>
      </c>
      <c r="H34">
        <v>217</v>
      </c>
      <c r="I34">
        <v>1</v>
      </c>
      <c r="L34">
        <v>88888</v>
      </c>
      <c r="M34" s="2">
        <f t="shared" si="12"/>
        <v>33</v>
      </c>
      <c r="N34" s="3">
        <f t="shared" si="13"/>
        <v>43677</v>
      </c>
      <c r="O34" t="s">
        <v>302</v>
      </c>
      <c r="P34">
        <f t="shared" si="0"/>
        <v>2032</v>
      </c>
      <c r="Q34" s="6">
        <f t="shared" si="14"/>
        <v>7</v>
      </c>
      <c r="R34" s="5">
        <f t="shared" si="15"/>
        <v>97654.33</v>
      </c>
      <c r="T34" s="5">
        <f t="shared" si="16"/>
        <v>0</v>
      </c>
      <c r="U34">
        <f t="shared" si="17"/>
        <v>0</v>
      </c>
      <c r="V34">
        <f t="shared" si="18"/>
        <v>40</v>
      </c>
      <c r="W34" t="str">
        <f t="shared" si="19"/>
        <v xml:space="preserve">SAC                                     </v>
      </c>
      <c r="X34">
        <f t="shared" si="20"/>
        <v>3</v>
      </c>
      <c r="Y34" t="str">
        <f t="shared" si="21"/>
        <v xml:space="preserve"> </v>
      </c>
      <c r="AB34" t="str">
        <f t="shared" si="7"/>
        <v>SAC</v>
      </c>
    </row>
    <row r="35" spans="1:28" ht="15.75" x14ac:dyDescent="0.25">
      <c r="A35" s="17">
        <v>5110513</v>
      </c>
      <c r="B35" s="17" t="s">
        <v>274</v>
      </c>
      <c r="C35" s="1">
        <v>7</v>
      </c>
      <c r="D35" s="10">
        <v>97654.33</v>
      </c>
      <c r="E35" s="11"/>
      <c r="F35">
        <v>11110304</v>
      </c>
      <c r="G35" t="s">
        <v>35</v>
      </c>
      <c r="H35">
        <v>218</v>
      </c>
      <c r="I35">
        <v>1</v>
      </c>
      <c r="L35">
        <v>88888</v>
      </c>
      <c r="M35" s="2">
        <f t="shared" si="12"/>
        <v>34</v>
      </c>
      <c r="N35" s="3">
        <f t="shared" si="13"/>
        <v>43677</v>
      </c>
      <c r="O35" t="s">
        <v>287</v>
      </c>
      <c r="P35">
        <f t="shared" si="0"/>
        <v>2034</v>
      </c>
      <c r="Q35" s="6">
        <f t="shared" si="14"/>
        <v>7</v>
      </c>
      <c r="R35" s="5">
        <f t="shared" si="15"/>
        <v>550119.38583333336</v>
      </c>
      <c r="T35" s="5">
        <f t="shared" si="16"/>
        <v>0</v>
      </c>
      <c r="U35">
        <f t="shared" si="17"/>
        <v>0</v>
      </c>
      <c r="V35">
        <f t="shared" si="18"/>
        <v>40</v>
      </c>
      <c r="W35" t="str">
        <f t="shared" si="19"/>
        <v xml:space="preserve">BAE                                     </v>
      </c>
      <c r="X35">
        <f t="shared" si="20"/>
        <v>3</v>
      </c>
      <c r="Y35" t="str">
        <f t="shared" si="21"/>
        <v xml:space="preserve"> </v>
      </c>
      <c r="AB35" t="str">
        <f t="shared" si="7"/>
        <v>BAE</v>
      </c>
    </row>
    <row r="36" spans="1:28" ht="15.75" x14ac:dyDescent="0.25">
      <c r="A36" s="17">
        <v>5110515</v>
      </c>
      <c r="B36" s="17" t="s">
        <v>276</v>
      </c>
      <c r="C36" s="1">
        <v>7</v>
      </c>
      <c r="D36" s="10">
        <v>550119.38583333336</v>
      </c>
      <c r="E36" s="11"/>
      <c r="F36">
        <v>11110305</v>
      </c>
      <c r="G36" t="s">
        <v>36</v>
      </c>
      <c r="H36">
        <v>219</v>
      </c>
      <c r="I36">
        <v>1</v>
      </c>
      <c r="L36">
        <v>88888</v>
      </c>
      <c r="M36" s="2">
        <f t="shared" si="12"/>
        <v>35</v>
      </c>
      <c r="N36" s="3">
        <f t="shared" si="13"/>
        <v>43677</v>
      </c>
      <c r="O36" t="s">
        <v>204</v>
      </c>
      <c r="P36">
        <f t="shared" si="0"/>
        <v>1081</v>
      </c>
      <c r="Q36" s="6">
        <f t="shared" si="14"/>
        <v>7</v>
      </c>
      <c r="R36" s="5">
        <f t="shared" si="15"/>
        <v>0.79</v>
      </c>
      <c r="T36" s="5">
        <f t="shared" si="16"/>
        <v>0</v>
      </c>
      <c r="U36">
        <f t="shared" si="17"/>
        <v>0</v>
      </c>
      <c r="V36">
        <f t="shared" si="18"/>
        <v>40</v>
      </c>
      <c r="W36" t="str">
        <f t="shared" si="19"/>
        <v xml:space="preserve">OTROS GASTOS EN PERSONAL                </v>
      </c>
      <c r="X36">
        <f t="shared" si="20"/>
        <v>24</v>
      </c>
      <c r="Y36" t="str">
        <f t="shared" si="21"/>
        <v xml:space="preserve"> </v>
      </c>
      <c r="AB36" t="str">
        <f t="shared" si="7"/>
        <v>OTROS GASTOS EN PERSONAL</v>
      </c>
    </row>
    <row r="37" spans="1:28" ht="15.75" x14ac:dyDescent="0.25">
      <c r="A37" s="17">
        <v>5111501</v>
      </c>
      <c r="B37" s="17" t="s">
        <v>32</v>
      </c>
      <c r="C37" s="1">
        <v>7</v>
      </c>
      <c r="D37" s="10">
        <v>0.79</v>
      </c>
      <c r="E37" s="11"/>
      <c r="F37">
        <v>11110306</v>
      </c>
      <c r="G37" t="s">
        <v>37</v>
      </c>
      <c r="H37">
        <v>220</v>
      </c>
      <c r="I37">
        <v>1</v>
      </c>
      <c r="L37">
        <v>88888</v>
      </c>
      <c r="M37" s="2">
        <f t="shared" si="12"/>
        <v>36</v>
      </c>
      <c r="N37" s="3">
        <f t="shared" si="13"/>
        <v>43677</v>
      </c>
      <c r="O37" t="s">
        <v>203</v>
      </c>
      <c r="P37">
        <f t="shared" si="0"/>
        <v>1028</v>
      </c>
      <c r="Q37" s="6">
        <f t="shared" si="14"/>
        <v>8</v>
      </c>
      <c r="R37" s="5">
        <f t="shared" si="15"/>
        <v>249784.67</v>
      </c>
      <c r="T37" s="5">
        <f t="shared" si="16"/>
        <v>0</v>
      </c>
      <c r="U37">
        <f t="shared" si="17"/>
        <v>0</v>
      </c>
      <c r="V37">
        <f t="shared" si="18"/>
        <v>40</v>
      </c>
      <c r="W37" t="str">
        <f t="shared" si="19"/>
        <v xml:space="preserve">SUELDOS                                 </v>
      </c>
      <c r="X37">
        <f t="shared" si="20"/>
        <v>7</v>
      </c>
      <c r="Y37" t="str">
        <f t="shared" si="21"/>
        <v xml:space="preserve"> </v>
      </c>
      <c r="AB37" t="str">
        <f t="shared" si="7"/>
        <v>SUELDOS</v>
      </c>
    </row>
    <row r="38" spans="1:28" ht="15.75" x14ac:dyDescent="0.25">
      <c r="A38" s="17">
        <v>5110501</v>
      </c>
      <c r="B38" s="17" t="s">
        <v>25</v>
      </c>
      <c r="C38" s="1">
        <v>8</v>
      </c>
      <c r="D38" s="10">
        <v>249784.67</v>
      </c>
      <c r="E38" s="11"/>
      <c r="F38">
        <v>11110307</v>
      </c>
      <c r="G38" t="s">
        <v>38</v>
      </c>
      <c r="H38">
        <v>221</v>
      </c>
      <c r="I38">
        <v>1</v>
      </c>
      <c r="L38">
        <v>88888</v>
      </c>
      <c r="M38" s="2">
        <f t="shared" si="12"/>
        <v>37</v>
      </c>
      <c r="N38" s="3">
        <f t="shared" si="13"/>
        <v>43677</v>
      </c>
      <c r="O38" t="s">
        <v>143</v>
      </c>
      <c r="P38">
        <f t="shared" si="0"/>
        <v>1029</v>
      </c>
      <c r="Q38" s="6">
        <f t="shared" si="14"/>
        <v>8</v>
      </c>
      <c r="R38" s="5">
        <f t="shared" si="15"/>
        <v>146056.99797679999</v>
      </c>
      <c r="T38" s="5">
        <f t="shared" si="16"/>
        <v>0</v>
      </c>
      <c r="U38">
        <f t="shared" si="17"/>
        <v>0</v>
      </c>
      <c r="V38">
        <f t="shared" si="18"/>
        <v>40</v>
      </c>
      <c r="W38" t="str">
        <f t="shared" si="19"/>
        <v xml:space="preserve">CARGAS SOCIALES                         </v>
      </c>
      <c r="X38">
        <f t="shared" si="20"/>
        <v>15</v>
      </c>
      <c r="Y38" t="str">
        <f t="shared" si="21"/>
        <v xml:space="preserve"> </v>
      </c>
      <c r="AB38" t="str">
        <f t="shared" si="7"/>
        <v>CARGAS SOCIALES</v>
      </c>
    </row>
    <row r="39" spans="1:28" ht="15.75" x14ac:dyDescent="0.25">
      <c r="A39" s="17">
        <v>5110502</v>
      </c>
      <c r="B39" s="17" t="s">
        <v>27</v>
      </c>
      <c r="C39" s="1">
        <v>8</v>
      </c>
      <c r="D39" s="10">
        <v>146056.99797679999</v>
      </c>
      <c r="E39" s="11"/>
      <c r="F39">
        <v>11110308</v>
      </c>
      <c r="G39" t="s">
        <v>39</v>
      </c>
      <c r="H39">
        <v>222</v>
      </c>
      <c r="I39">
        <v>1</v>
      </c>
      <c r="L39">
        <v>88888</v>
      </c>
      <c r="M39" s="2">
        <f t="shared" si="12"/>
        <v>38</v>
      </c>
      <c r="N39" s="3">
        <f t="shared" si="13"/>
        <v>43677</v>
      </c>
      <c r="O39" t="s">
        <v>302</v>
      </c>
      <c r="P39">
        <f t="shared" si="0"/>
        <v>2032</v>
      </c>
      <c r="Q39" s="6">
        <f t="shared" si="14"/>
        <v>8</v>
      </c>
      <c r="R39" s="5">
        <f t="shared" si="15"/>
        <v>142125.67000000001</v>
      </c>
      <c r="T39" s="5">
        <f t="shared" si="16"/>
        <v>0</v>
      </c>
      <c r="U39">
        <f t="shared" si="17"/>
        <v>0</v>
      </c>
      <c r="V39">
        <f t="shared" si="18"/>
        <v>40</v>
      </c>
      <c r="W39" t="str">
        <f t="shared" si="19"/>
        <v xml:space="preserve">SAC                                     </v>
      </c>
      <c r="X39">
        <f t="shared" si="20"/>
        <v>3</v>
      </c>
      <c r="Y39" t="str">
        <f t="shared" si="21"/>
        <v xml:space="preserve"> </v>
      </c>
      <c r="AB39" t="str">
        <f t="shared" si="7"/>
        <v>SAC</v>
      </c>
    </row>
    <row r="40" spans="1:28" ht="15.75" x14ac:dyDescent="0.25">
      <c r="A40" s="17">
        <v>5110513</v>
      </c>
      <c r="B40" s="17" t="s">
        <v>274</v>
      </c>
      <c r="C40" s="1">
        <v>8</v>
      </c>
      <c r="D40" s="10">
        <v>142125.67000000001</v>
      </c>
      <c r="E40" s="11"/>
      <c r="F40">
        <v>11110309</v>
      </c>
      <c r="G40" t="s">
        <v>40</v>
      </c>
      <c r="H40">
        <v>223</v>
      </c>
      <c r="I40">
        <v>1</v>
      </c>
      <c r="L40">
        <v>88888</v>
      </c>
      <c r="M40" s="2">
        <f t="shared" si="12"/>
        <v>39</v>
      </c>
      <c r="N40" s="3">
        <f t="shared" si="13"/>
        <v>43677</v>
      </c>
      <c r="O40" t="s">
        <v>288</v>
      </c>
      <c r="P40">
        <f t="shared" si="0"/>
        <v>2035</v>
      </c>
      <c r="Q40" s="6">
        <f t="shared" si="14"/>
        <v>8</v>
      </c>
      <c r="R40" s="5">
        <f t="shared" si="15"/>
        <v>184.82</v>
      </c>
      <c r="T40" s="5">
        <f t="shared" si="16"/>
        <v>0</v>
      </c>
      <c r="U40">
        <f t="shared" si="17"/>
        <v>0</v>
      </c>
      <c r="V40">
        <f t="shared" si="18"/>
        <v>40</v>
      </c>
      <c r="W40" t="str">
        <f t="shared" si="19"/>
        <v xml:space="preserve">HORAS EXTRAS                            </v>
      </c>
      <c r="X40">
        <f t="shared" si="20"/>
        <v>12</v>
      </c>
      <c r="Y40" t="str">
        <f t="shared" si="21"/>
        <v xml:space="preserve"> </v>
      </c>
      <c r="AB40" t="str">
        <f t="shared" si="7"/>
        <v>HORAS EXTRAS</v>
      </c>
    </row>
    <row r="41" spans="1:28" ht="15.75" x14ac:dyDescent="0.25">
      <c r="A41" s="17">
        <v>5110516</v>
      </c>
      <c r="B41" s="17" t="s">
        <v>277</v>
      </c>
      <c r="C41" s="1">
        <v>8</v>
      </c>
      <c r="D41" s="10">
        <v>184.82</v>
      </c>
      <c r="E41" s="11"/>
      <c r="F41">
        <v>11110310</v>
      </c>
      <c r="G41" t="s">
        <v>40</v>
      </c>
      <c r="H41">
        <v>224</v>
      </c>
      <c r="I41">
        <v>1</v>
      </c>
      <c r="L41">
        <v>88888</v>
      </c>
      <c r="M41" s="2">
        <f t="shared" si="12"/>
        <v>40</v>
      </c>
      <c r="N41" s="3">
        <f t="shared" si="13"/>
        <v>43677</v>
      </c>
      <c r="O41" t="s">
        <v>204</v>
      </c>
      <c r="P41">
        <f t="shared" si="0"/>
        <v>1081</v>
      </c>
      <c r="Q41" s="6">
        <f t="shared" si="14"/>
        <v>8</v>
      </c>
      <c r="R41" s="5">
        <f t="shared" si="15"/>
        <v>1.64</v>
      </c>
      <c r="T41" s="5">
        <f t="shared" si="16"/>
        <v>0</v>
      </c>
      <c r="U41">
        <f t="shared" si="17"/>
        <v>0</v>
      </c>
      <c r="V41">
        <f t="shared" si="18"/>
        <v>40</v>
      </c>
      <c r="W41" t="str">
        <f t="shared" si="19"/>
        <v xml:space="preserve">OTROS GASTOS EN PERSONAL                </v>
      </c>
      <c r="X41">
        <f t="shared" si="20"/>
        <v>24</v>
      </c>
      <c r="Y41" t="str">
        <f t="shared" si="21"/>
        <v xml:space="preserve"> </v>
      </c>
      <c r="AB41" t="str">
        <f t="shared" si="7"/>
        <v>OTROS GASTOS EN PERSONAL</v>
      </c>
    </row>
    <row r="42" spans="1:28" ht="15.75" x14ac:dyDescent="0.25">
      <c r="A42" s="17">
        <v>5111501</v>
      </c>
      <c r="B42" s="17" t="s">
        <v>32</v>
      </c>
      <c r="C42" s="1">
        <v>8</v>
      </c>
      <c r="D42" s="10">
        <v>1.64</v>
      </c>
      <c r="E42" s="11"/>
      <c r="F42">
        <v>11110311</v>
      </c>
      <c r="G42" t="s">
        <v>41</v>
      </c>
      <c r="H42">
        <v>225</v>
      </c>
      <c r="I42">
        <v>1</v>
      </c>
      <c r="L42">
        <v>88888</v>
      </c>
      <c r="M42" s="2">
        <f t="shared" si="12"/>
        <v>41</v>
      </c>
      <c r="N42" s="3">
        <f t="shared" si="13"/>
        <v>43677</v>
      </c>
      <c r="O42" t="s">
        <v>203</v>
      </c>
      <c r="P42">
        <f t="shared" si="0"/>
        <v>1028</v>
      </c>
      <c r="Q42" s="6">
        <f t="shared" si="14"/>
        <v>9</v>
      </c>
      <c r="R42" s="5">
        <f t="shared" si="15"/>
        <v>244072.22083333333</v>
      </c>
      <c r="T42" s="5">
        <f t="shared" si="16"/>
        <v>0</v>
      </c>
      <c r="U42">
        <f t="shared" si="17"/>
        <v>0</v>
      </c>
      <c r="V42">
        <f t="shared" si="18"/>
        <v>40</v>
      </c>
      <c r="W42" t="str">
        <f t="shared" si="19"/>
        <v xml:space="preserve">SUELDOS                                 </v>
      </c>
      <c r="X42">
        <f t="shared" si="20"/>
        <v>7</v>
      </c>
      <c r="Y42" t="str">
        <f t="shared" si="21"/>
        <v xml:space="preserve"> </v>
      </c>
      <c r="AB42" t="str">
        <f t="shared" si="7"/>
        <v>SUELDOS</v>
      </c>
    </row>
    <row r="43" spans="1:28" ht="15.75" x14ac:dyDescent="0.25">
      <c r="A43" s="17">
        <v>5110501</v>
      </c>
      <c r="B43" s="17" t="s">
        <v>25</v>
      </c>
      <c r="C43" s="1">
        <v>9</v>
      </c>
      <c r="D43" s="10">
        <v>244072.22083333333</v>
      </c>
      <c r="E43" s="11"/>
      <c r="F43">
        <v>11110312</v>
      </c>
      <c r="G43" t="s">
        <v>42</v>
      </c>
      <c r="H43">
        <v>226</v>
      </c>
      <c r="I43">
        <v>1</v>
      </c>
      <c r="L43">
        <v>88888</v>
      </c>
      <c r="M43" s="2">
        <f t="shared" si="12"/>
        <v>42</v>
      </c>
      <c r="N43" s="3">
        <f t="shared" si="13"/>
        <v>43677</v>
      </c>
      <c r="O43" t="s">
        <v>143</v>
      </c>
      <c r="P43">
        <f t="shared" si="0"/>
        <v>1029</v>
      </c>
      <c r="Q43" s="6">
        <f t="shared" si="14"/>
        <v>9</v>
      </c>
      <c r="R43" s="5">
        <f t="shared" si="15"/>
        <v>256268.38965880001</v>
      </c>
      <c r="T43" s="5">
        <f t="shared" si="16"/>
        <v>0</v>
      </c>
      <c r="U43">
        <f t="shared" si="17"/>
        <v>0</v>
      </c>
      <c r="V43">
        <f t="shared" si="18"/>
        <v>40</v>
      </c>
      <c r="W43" t="str">
        <f t="shared" si="19"/>
        <v xml:space="preserve">CARGAS SOCIALES                         </v>
      </c>
      <c r="X43">
        <f t="shared" si="20"/>
        <v>15</v>
      </c>
      <c r="Y43" t="str">
        <f t="shared" si="21"/>
        <v xml:space="preserve"> </v>
      </c>
      <c r="AB43" t="str">
        <f t="shared" si="7"/>
        <v>CARGAS SOCIALES</v>
      </c>
    </row>
    <row r="44" spans="1:28" ht="15.75" x14ac:dyDescent="0.25">
      <c r="A44" s="17">
        <v>5110502</v>
      </c>
      <c r="B44" s="17" t="s">
        <v>27</v>
      </c>
      <c r="C44" s="1">
        <v>9</v>
      </c>
      <c r="D44" s="10">
        <v>256268.38965880001</v>
      </c>
      <c r="E44" s="11"/>
      <c r="F44">
        <v>11110313</v>
      </c>
      <c r="G44" t="s">
        <v>43</v>
      </c>
      <c r="H44">
        <v>227</v>
      </c>
      <c r="I44">
        <v>1</v>
      </c>
      <c r="L44">
        <v>88888</v>
      </c>
      <c r="M44" s="2">
        <f t="shared" si="12"/>
        <v>43</v>
      </c>
      <c r="N44" s="3">
        <f t="shared" si="13"/>
        <v>43677</v>
      </c>
      <c r="O44" t="s">
        <v>302</v>
      </c>
      <c r="P44">
        <f t="shared" si="0"/>
        <v>2032</v>
      </c>
      <c r="Q44" s="6">
        <f t="shared" si="14"/>
        <v>9</v>
      </c>
      <c r="R44" s="5">
        <f t="shared" si="15"/>
        <v>127051.8</v>
      </c>
      <c r="T44" s="5">
        <f t="shared" si="16"/>
        <v>0</v>
      </c>
      <c r="U44">
        <f t="shared" si="17"/>
        <v>0</v>
      </c>
      <c r="V44">
        <f t="shared" si="18"/>
        <v>40</v>
      </c>
      <c r="W44" t="str">
        <f t="shared" si="19"/>
        <v xml:space="preserve">SAC                                     </v>
      </c>
      <c r="X44">
        <f t="shared" si="20"/>
        <v>3</v>
      </c>
      <c r="Y44" t="str">
        <f t="shared" si="21"/>
        <v xml:space="preserve"> </v>
      </c>
      <c r="AB44" t="str">
        <f t="shared" si="7"/>
        <v>SAC</v>
      </c>
    </row>
    <row r="45" spans="1:28" ht="15.75" x14ac:dyDescent="0.25">
      <c r="A45" s="17">
        <v>5110513</v>
      </c>
      <c r="B45" s="17" t="s">
        <v>274</v>
      </c>
      <c r="C45" s="1">
        <v>9</v>
      </c>
      <c r="D45" s="10">
        <v>127051.8</v>
      </c>
      <c r="E45" s="11"/>
      <c r="F45">
        <v>11110314</v>
      </c>
      <c r="G45" t="s">
        <v>44</v>
      </c>
      <c r="H45">
        <v>228</v>
      </c>
      <c r="I45">
        <v>1</v>
      </c>
      <c r="L45">
        <v>88888</v>
      </c>
      <c r="M45" s="2">
        <f t="shared" si="12"/>
        <v>44</v>
      </c>
      <c r="N45" s="3">
        <f t="shared" si="13"/>
        <v>43677</v>
      </c>
      <c r="O45" t="s">
        <v>289</v>
      </c>
      <c r="P45">
        <f t="shared" si="0"/>
        <v>2033</v>
      </c>
      <c r="Q45" s="6">
        <f t="shared" si="14"/>
        <v>9</v>
      </c>
      <c r="R45" s="5">
        <f t="shared" si="15"/>
        <v>4687.49</v>
      </c>
      <c r="T45" s="5">
        <f t="shared" si="16"/>
        <v>0</v>
      </c>
      <c r="U45">
        <f t="shared" si="17"/>
        <v>0</v>
      </c>
      <c r="V45">
        <f t="shared" si="18"/>
        <v>40</v>
      </c>
      <c r="W45" t="str">
        <f t="shared" si="19"/>
        <v xml:space="preserve">VACACIONES                              </v>
      </c>
      <c r="X45">
        <f t="shared" si="20"/>
        <v>10</v>
      </c>
      <c r="Y45" t="str">
        <f t="shared" si="21"/>
        <v xml:space="preserve"> </v>
      </c>
      <c r="AB45" t="str">
        <f t="shared" si="7"/>
        <v>VACACIONES</v>
      </c>
    </row>
    <row r="46" spans="1:28" x14ac:dyDescent="0.25">
      <c r="A46" s="17">
        <v>5110514</v>
      </c>
      <c r="B46" s="17" t="s">
        <v>275</v>
      </c>
      <c r="C46">
        <v>9</v>
      </c>
      <c r="D46" s="10">
        <v>4687.49</v>
      </c>
      <c r="E46" s="11"/>
      <c r="F46">
        <v>11110315</v>
      </c>
      <c r="G46" t="s">
        <v>45</v>
      </c>
      <c r="H46">
        <v>229</v>
      </c>
      <c r="I46">
        <v>1</v>
      </c>
      <c r="L46">
        <v>88888</v>
      </c>
      <c r="M46" s="2">
        <f t="shared" si="12"/>
        <v>45</v>
      </c>
      <c r="N46" s="3">
        <f t="shared" si="13"/>
        <v>43677</v>
      </c>
      <c r="O46" t="s">
        <v>287</v>
      </c>
      <c r="P46">
        <f t="shared" si="0"/>
        <v>2034</v>
      </c>
      <c r="Q46" s="6">
        <f t="shared" si="14"/>
        <v>9</v>
      </c>
      <c r="R46" s="5">
        <f t="shared" si="15"/>
        <v>279028.34916666668</v>
      </c>
      <c r="T46" s="5">
        <f t="shared" si="16"/>
        <v>0</v>
      </c>
      <c r="U46">
        <f t="shared" si="17"/>
        <v>0</v>
      </c>
      <c r="V46">
        <f t="shared" si="18"/>
        <v>40</v>
      </c>
      <c r="W46" t="str">
        <f t="shared" si="19"/>
        <v xml:space="preserve">BAE                                     </v>
      </c>
      <c r="X46">
        <f t="shared" si="20"/>
        <v>3</v>
      </c>
      <c r="Y46" t="str">
        <f t="shared" si="21"/>
        <v xml:space="preserve"> </v>
      </c>
      <c r="AB46" t="str">
        <f t="shared" si="7"/>
        <v>BAE</v>
      </c>
    </row>
    <row r="47" spans="1:28" x14ac:dyDescent="0.25">
      <c r="A47" s="17">
        <v>5110515</v>
      </c>
      <c r="B47" s="17" t="s">
        <v>276</v>
      </c>
      <c r="C47">
        <v>9</v>
      </c>
      <c r="D47" s="10">
        <v>279028.34916666668</v>
      </c>
      <c r="E47" s="11"/>
      <c r="F47">
        <v>11110316</v>
      </c>
      <c r="G47" t="s">
        <v>46</v>
      </c>
      <c r="H47">
        <v>1409</v>
      </c>
      <c r="I47">
        <v>1</v>
      </c>
      <c r="L47">
        <v>88888</v>
      </c>
      <c r="M47" s="2">
        <f t="shared" si="12"/>
        <v>46</v>
      </c>
      <c r="N47" s="3">
        <f t="shared" si="13"/>
        <v>43677</v>
      </c>
      <c r="O47" t="s">
        <v>288</v>
      </c>
      <c r="P47">
        <f t="shared" si="0"/>
        <v>2035</v>
      </c>
      <c r="Q47" s="6">
        <f t="shared" si="14"/>
        <v>9</v>
      </c>
      <c r="R47" s="5">
        <f t="shared" si="15"/>
        <v>4754.2</v>
      </c>
      <c r="T47" s="5">
        <f t="shared" si="16"/>
        <v>0</v>
      </c>
      <c r="U47">
        <f t="shared" si="17"/>
        <v>0</v>
      </c>
      <c r="V47">
        <f t="shared" si="18"/>
        <v>40</v>
      </c>
      <c r="W47" t="str">
        <f t="shared" si="19"/>
        <v xml:space="preserve">HORAS EXTRAS                            </v>
      </c>
      <c r="X47">
        <f t="shared" si="20"/>
        <v>12</v>
      </c>
      <c r="Y47" t="str">
        <f t="shared" si="21"/>
        <v xml:space="preserve"> </v>
      </c>
      <c r="AB47" t="str">
        <f t="shared" si="7"/>
        <v>HORAS EXTRAS</v>
      </c>
    </row>
    <row r="48" spans="1:28" x14ac:dyDescent="0.25">
      <c r="A48" s="17">
        <v>5110516</v>
      </c>
      <c r="B48" s="17" t="s">
        <v>277</v>
      </c>
      <c r="C48">
        <v>9</v>
      </c>
      <c r="D48" s="10">
        <v>4754.2</v>
      </c>
      <c r="E48" s="11"/>
      <c r="F48">
        <v>11110317</v>
      </c>
      <c r="G48" t="s">
        <v>47</v>
      </c>
      <c r="H48">
        <v>1457</v>
      </c>
      <c r="I48">
        <v>1</v>
      </c>
      <c r="L48">
        <v>88888</v>
      </c>
      <c r="M48" s="2">
        <f t="shared" si="12"/>
        <v>47</v>
      </c>
      <c r="N48" s="3">
        <f t="shared" si="13"/>
        <v>43677</v>
      </c>
      <c r="O48" t="s">
        <v>204</v>
      </c>
      <c r="P48">
        <f t="shared" si="0"/>
        <v>1081</v>
      </c>
      <c r="Q48" s="6">
        <f t="shared" si="14"/>
        <v>9</v>
      </c>
      <c r="R48" s="5">
        <f t="shared" si="15"/>
        <v>0.45</v>
      </c>
      <c r="T48" s="5">
        <f t="shared" si="16"/>
        <v>0</v>
      </c>
      <c r="U48">
        <f t="shared" si="17"/>
        <v>0</v>
      </c>
      <c r="V48">
        <f t="shared" si="18"/>
        <v>40</v>
      </c>
      <c r="W48" t="str">
        <f t="shared" si="19"/>
        <v xml:space="preserve">OTROS GASTOS EN PERSONAL                </v>
      </c>
      <c r="X48">
        <f t="shared" si="20"/>
        <v>24</v>
      </c>
      <c r="Y48" t="str">
        <f t="shared" si="21"/>
        <v xml:space="preserve"> </v>
      </c>
      <c r="AB48" t="str">
        <f t="shared" si="7"/>
        <v>OTROS GASTOS EN PERSONAL</v>
      </c>
    </row>
    <row r="49" spans="1:28" x14ac:dyDescent="0.25">
      <c r="A49" s="17">
        <v>5111501</v>
      </c>
      <c r="B49" s="17" t="s">
        <v>32</v>
      </c>
      <c r="C49">
        <v>9</v>
      </c>
      <c r="D49" s="10">
        <v>0.45</v>
      </c>
      <c r="E49" s="11"/>
      <c r="F49">
        <v>11110318</v>
      </c>
      <c r="G49" t="s">
        <v>48</v>
      </c>
      <c r="H49">
        <v>1500</v>
      </c>
      <c r="I49">
        <v>1</v>
      </c>
      <c r="L49">
        <v>88888</v>
      </c>
      <c r="M49" s="2">
        <f t="shared" si="12"/>
        <v>48</v>
      </c>
      <c r="N49" s="3">
        <f t="shared" si="13"/>
        <v>43677</v>
      </c>
      <c r="O49" t="s">
        <v>203</v>
      </c>
      <c r="P49">
        <f t="shared" si="0"/>
        <v>1028</v>
      </c>
      <c r="Q49" s="6">
        <f t="shared" si="14"/>
        <v>10</v>
      </c>
      <c r="R49" s="5">
        <f t="shared" si="15"/>
        <v>420521.91499999998</v>
      </c>
      <c r="T49" s="5">
        <f t="shared" si="16"/>
        <v>0</v>
      </c>
      <c r="U49">
        <f t="shared" si="17"/>
        <v>0</v>
      </c>
      <c r="V49">
        <f t="shared" si="18"/>
        <v>40</v>
      </c>
      <c r="W49" t="str">
        <f t="shared" si="19"/>
        <v xml:space="preserve">SUELDOS                                 </v>
      </c>
      <c r="X49">
        <f t="shared" si="20"/>
        <v>7</v>
      </c>
      <c r="Y49" t="str">
        <f t="shared" si="21"/>
        <v xml:space="preserve"> </v>
      </c>
      <c r="AB49" t="str">
        <f t="shared" si="7"/>
        <v>SUELDOS</v>
      </c>
    </row>
    <row r="50" spans="1:28" x14ac:dyDescent="0.25">
      <c r="A50" s="17">
        <v>5110501</v>
      </c>
      <c r="B50" s="17" t="s">
        <v>25</v>
      </c>
      <c r="C50">
        <v>10</v>
      </c>
      <c r="D50" s="10">
        <v>420521.91499999998</v>
      </c>
      <c r="E50" s="11"/>
      <c r="F50">
        <v>11110319</v>
      </c>
      <c r="G50" t="s">
        <v>49</v>
      </c>
      <c r="H50">
        <v>1541</v>
      </c>
      <c r="I50">
        <v>1</v>
      </c>
      <c r="L50">
        <v>88888</v>
      </c>
      <c r="M50" s="2">
        <f t="shared" si="12"/>
        <v>49</v>
      </c>
      <c r="N50" s="3">
        <f t="shared" si="13"/>
        <v>43677</v>
      </c>
      <c r="O50" t="s">
        <v>143</v>
      </c>
      <c r="P50">
        <f t="shared" si="0"/>
        <v>1029</v>
      </c>
      <c r="Q50" s="6">
        <f t="shared" si="14"/>
        <v>10</v>
      </c>
      <c r="R50" s="5">
        <f t="shared" si="15"/>
        <v>265567.55663679994</v>
      </c>
      <c r="T50" s="5">
        <f t="shared" si="16"/>
        <v>0</v>
      </c>
      <c r="U50">
        <f t="shared" si="17"/>
        <v>0</v>
      </c>
      <c r="V50">
        <f t="shared" si="18"/>
        <v>40</v>
      </c>
      <c r="W50" t="str">
        <f t="shared" si="19"/>
        <v xml:space="preserve">CARGAS SOCIALES                         </v>
      </c>
      <c r="X50">
        <f t="shared" si="20"/>
        <v>15</v>
      </c>
      <c r="Y50" t="str">
        <f t="shared" si="21"/>
        <v xml:space="preserve"> </v>
      </c>
      <c r="AB50" t="str">
        <f t="shared" si="7"/>
        <v>CARGAS SOCIALES</v>
      </c>
    </row>
    <row r="51" spans="1:28" x14ac:dyDescent="0.25">
      <c r="A51" s="17">
        <v>5110502</v>
      </c>
      <c r="B51" s="17" t="s">
        <v>27</v>
      </c>
      <c r="C51">
        <v>10</v>
      </c>
      <c r="D51" s="10">
        <v>265567.55663679994</v>
      </c>
      <c r="E51" s="11"/>
      <c r="F51">
        <v>11110320</v>
      </c>
      <c r="G51" t="s">
        <v>50</v>
      </c>
      <c r="H51">
        <v>1590</v>
      </c>
      <c r="I51">
        <v>1</v>
      </c>
      <c r="L51">
        <v>88888</v>
      </c>
      <c r="M51" s="2">
        <f t="shared" si="12"/>
        <v>50</v>
      </c>
      <c r="N51" s="3">
        <f t="shared" si="13"/>
        <v>43677</v>
      </c>
      <c r="O51" t="s">
        <v>302</v>
      </c>
      <c r="P51">
        <f t="shared" si="0"/>
        <v>2032</v>
      </c>
      <c r="Q51" s="6">
        <f t="shared" si="14"/>
        <v>10</v>
      </c>
      <c r="R51" s="5">
        <f t="shared" si="15"/>
        <v>216315.07</v>
      </c>
      <c r="T51" s="5">
        <f t="shared" si="16"/>
        <v>0</v>
      </c>
      <c r="U51">
        <f t="shared" si="17"/>
        <v>0</v>
      </c>
      <c r="V51">
        <f t="shared" si="18"/>
        <v>40</v>
      </c>
      <c r="W51" t="str">
        <f t="shared" si="19"/>
        <v xml:space="preserve">SAC                                     </v>
      </c>
      <c r="X51">
        <f t="shared" si="20"/>
        <v>3</v>
      </c>
      <c r="Y51" t="str">
        <f t="shared" si="21"/>
        <v xml:space="preserve"> </v>
      </c>
      <c r="AB51" t="str">
        <f t="shared" si="7"/>
        <v>SAC</v>
      </c>
    </row>
    <row r="52" spans="1:28" x14ac:dyDescent="0.25">
      <c r="A52" s="17">
        <v>5110513</v>
      </c>
      <c r="B52" s="17" t="s">
        <v>274</v>
      </c>
      <c r="C52">
        <v>10</v>
      </c>
      <c r="D52" s="10">
        <v>216315.07</v>
      </c>
      <c r="E52" s="11"/>
      <c r="F52">
        <v>11110321</v>
      </c>
      <c r="G52" t="s">
        <v>51</v>
      </c>
      <c r="H52">
        <v>1611</v>
      </c>
      <c r="I52">
        <v>1</v>
      </c>
      <c r="L52">
        <v>88888</v>
      </c>
      <c r="M52" s="2">
        <f t="shared" si="12"/>
        <v>51</v>
      </c>
      <c r="N52" s="3">
        <f t="shared" si="13"/>
        <v>43677</v>
      </c>
      <c r="O52" t="s">
        <v>287</v>
      </c>
      <c r="P52">
        <f t="shared" si="0"/>
        <v>2034</v>
      </c>
      <c r="Q52" s="6">
        <f t="shared" si="14"/>
        <v>10</v>
      </c>
      <c r="R52" s="5">
        <f t="shared" si="15"/>
        <v>62471.174999999996</v>
      </c>
      <c r="T52" s="5">
        <f t="shared" si="16"/>
        <v>0</v>
      </c>
      <c r="U52">
        <f t="shared" si="17"/>
        <v>0</v>
      </c>
      <c r="V52">
        <f t="shared" si="18"/>
        <v>40</v>
      </c>
      <c r="W52" t="str">
        <f t="shared" si="19"/>
        <v xml:space="preserve">BAE                                     </v>
      </c>
      <c r="X52">
        <f t="shared" si="20"/>
        <v>3</v>
      </c>
      <c r="Y52" t="str">
        <f t="shared" si="21"/>
        <v xml:space="preserve"> </v>
      </c>
      <c r="AB52" t="str">
        <f t="shared" si="7"/>
        <v>BAE</v>
      </c>
    </row>
    <row r="53" spans="1:28" x14ac:dyDescent="0.25">
      <c r="A53" s="17">
        <v>5110515</v>
      </c>
      <c r="B53" s="17" t="s">
        <v>276</v>
      </c>
      <c r="C53">
        <v>10</v>
      </c>
      <c r="D53" s="10">
        <v>62471.174999999996</v>
      </c>
      <c r="E53" s="11"/>
      <c r="F53">
        <v>11110323</v>
      </c>
      <c r="G53" t="s">
        <v>52</v>
      </c>
      <c r="H53">
        <v>1817</v>
      </c>
      <c r="I53">
        <v>1</v>
      </c>
      <c r="L53">
        <v>88888</v>
      </c>
      <c r="M53" s="2">
        <f t="shared" si="12"/>
        <v>52</v>
      </c>
      <c r="N53" s="3">
        <f t="shared" si="13"/>
        <v>43677</v>
      </c>
      <c r="O53" t="s">
        <v>204</v>
      </c>
      <c r="P53">
        <f t="shared" si="0"/>
        <v>1081</v>
      </c>
      <c r="Q53" s="6">
        <f t="shared" si="14"/>
        <v>10</v>
      </c>
      <c r="R53" s="5">
        <f t="shared" si="15"/>
        <v>20895.63</v>
      </c>
      <c r="T53" s="5">
        <f t="shared" si="16"/>
        <v>0</v>
      </c>
      <c r="U53">
        <f t="shared" si="17"/>
        <v>0</v>
      </c>
      <c r="V53">
        <f t="shared" si="18"/>
        <v>40</v>
      </c>
      <c r="W53" t="str">
        <f t="shared" si="19"/>
        <v xml:space="preserve">OTROS GASTOS EN PERSONAL                </v>
      </c>
      <c r="X53">
        <f t="shared" si="20"/>
        <v>24</v>
      </c>
      <c r="Y53" t="str">
        <f t="shared" si="21"/>
        <v xml:space="preserve"> </v>
      </c>
      <c r="AB53" t="str">
        <f t="shared" si="7"/>
        <v>OTROS GASTOS EN PERSONAL</v>
      </c>
    </row>
    <row r="54" spans="1:28" x14ac:dyDescent="0.25">
      <c r="A54" s="17">
        <v>5111501</v>
      </c>
      <c r="B54" s="17" t="s">
        <v>32</v>
      </c>
      <c r="C54">
        <v>10</v>
      </c>
      <c r="D54" s="10">
        <v>20895.63</v>
      </c>
      <c r="E54" s="11"/>
      <c r="F54">
        <v>11321412</v>
      </c>
      <c r="G54" t="s">
        <v>53</v>
      </c>
      <c r="H54">
        <v>302</v>
      </c>
      <c r="I54">
        <v>1</v>
      </c>
      <c r="L54">
        <v>88888</v>
      </c>
      <c r="M54" s="2">
        <f t="shared" si="12"/>
        <v>53</v>
      </c>
      <c r="N54" s="3">
        <f t="shared" si="13"/>
        <v>43677</v>
      </c>
      <c r="O54" t="s">
        <v>203</v>
      </c>
      <c r="P54">
        <f t="shared" si="0"/>
        <v>1028</v>
      </c>
      <c r="Q54" s="6">
        <f t="shared" si="14"/>
        <v>11</v>
      </c>
      <c r="R54" s="5">
        <f t="shared" si="15"/>
        <v>761176.01749999996</v>
      </c>
      <c r="T54" s="5">
        <f t="shared" si="16"/>
        <v>0</v>
      </c>
      <c r="U54">
        <f t="shared" si="17"/>
        <v>0</v>
      </c>
      <c r="V54">
        <f t="shared" si="18"/>
        <v>40</v>
      </c>
      <c r="W54" t="str">
        <f t="shared" si="19"/>
        <v xml:space="preserve">SUELDOS                                 </v>
      </c>
      <c r="X54">
        <f t="shared" si="20"/>
        <v>7</v>
      </c>
      <c r="Y54" t="str">
        <f t="shared" si="21"/>
        <v xml:space="preserve"> </v>
      </c>
      <c r="AB54" t="str">
        <f t="shared" si="7"/>
        <v>SUELDOS</v>
      </c>
    </row>
    <row r="55" spans="1:28" x14ac:dyDescent="0.25">
      <c r="A55" s="17">
        <v>5110501</v>
      </c>
      <c r="B55" s="17" t="s">
        <v>25</v>
      </c>
      <c r="C55">
        <v>11</v>
      </c>
      <c r="D55" s="10">
        <v>761176.01749999996</v>
      </c>
      <c r="E55" s="11"/>
      <c r="F55" s="18">
        <v>11321424</v>
      </c>
      <c r="G55" s="18" t="s">
        <v>148</v>
      </c>
      <c r="H55">
        <v>2031</v>
      </c>
      <c r="I55">
        <v>1</v>
      </c>
      <c r="L55">
        <v>88888</v>
      </c>
      <c r="M55" s="2">
        <f t="shared" si="12"/>
        <v>54</v>
      </c>
      <c r="N55" s="3">
        <f t="shared" si="13"/>
        <v>43677</v>
      </c>
      <c r="O55" t="s">
        <v>143</v>
      </c>
      <c r="P55">
        <f t="shared" si="0"/>
        <v>1029</v>
      </c>
      <c r="Q55" s="6">
        <f t="shared" si="14"/>
        <v>11</v>
      </c>
      <c r="R55" s="5">
        <f t="shared" si="15"/>
        <v>470525.25636299991</v>
      </c>
      <c r="T55" s="5">
        <f t="shared" si="16"/>
        <v>0</v>
      </c>
      <c r="U55">
        <f t="shared" si="17"/>
        <v>0</v>
      </c>
      <c r="V55">
        <f t="shared" si="18"/>
        <v>40</v>
      </c>
      <c r="W55" t="str">
        <f t="shared" si="19"/>
        <v xml:space="preserve">CARGAS SOCIALES                         </v>
      </c>
      <c r="X55">
        <f t="shared" si="20"/>
        <v>15</v>
      </c>
      <c r="Y55" t="str">
        <f t="shared" si="21"/>
        <v xml:space="preserve"> </v>
      </c>
      <c r="AB55" t="str">
        <f t="shared" si="7"/>
        <v>CARGAS SOCIALES</v>
      </c>
    </row>
    <row r="56" spans="1:28" x14ac:dyDescent="0.25">
      <c r="A56" s="17">
        <v>5110502</v>
      </c>
      <c r="B56" s="17" t="s">
        <v>27</v>
      </c>
      <c r="C56">
        <v>11</v>
      </c>
      <c r="D56" s="10">
        <v>470525.25636299991</v>
      </c>
      <c r="E56" s="11"/>
      <c r="F56">
        <v>21110204</v>
      </c>
      <c r="G56" t="s">
        <v>144</v>
      </c>
      <c r="H56">
        <v>58</v>
      </c>
      <c r="I56">
        <v>1</v>
      </c>
      <c r="L56">
        <v>88888</v>
      </c>
      <c r="M56" s="2">
        <f t="shared" si="12"/>
        <v>55</v>
      </c>
      <c r="N56" s="3">
        <f t="shared" si="13"/>
        <v>43677</v>
      </c>
      <c r="O56" t="s">
        <v>302</v>
      </c>
      <c r="P56">
        <f t="shared" si="0"/>
        <v>2032</v>
      </c>
      <c r="Q56" s="6">
        <f t="shared" si="14"/>
        <v>11</v>
      </c>
      <c r="R56" s="5">
        <f t="shared" si="15"/>
        <v>446818.74</v>
      </c>
      <c r="T56" s="5">
        <f t="shared" si="16"/>
        <v>0</v>
      </c>
      <c r="U56">
        <f t="shared" si="17"/>
        <v>0</v>
      </c>
      <c r="V56">
        <f t="shared" si="18"/>
        <v>40</v>
      </c>
      <c r="W56" t="str">
        <f t="shared" si="19"/>
        <v xml:space="preserve">SAC                                     </v>
      </c>
      <c r="X56">
        <f t="shared" si="20"/>
        <v>3</v>
      </c>
      <c r="Y56" t="str">
        <f t="shared" si="21"/>
        <v xml:space="preserve"> </v>
      </c>
      <c r="AB56" t="str">
        <f t="shared" si="7"/>
        <v>SAC</v>
      </c>
    </row>
    <row r="57" spans="1:28" x14ac:dyDescent="0.25">
      <c r="A57" s="17">
        <v>5110513</v>
      </c>
      <c r="B57" s="17" t="s">
        <v>274</v>
      </c>
      <c r="C57">
        <v>11</v>
      </c>
      <c r="D57" s="10">
        <v>446818.74</v>
      </c>
      <c r="E57" s="11"/>
      <c r="F57">
        <v>21130702</v>
      </c>
      <c r="G57" t="s">
        <v>54</v>
      </c>
      <c r="H57">
        <v>109</v>
      </c>
      <c r="I57">
        <v>1</v>
      </c>
      <c r="L57">
        <v>88888</v>
      </c>
      <c r="M57" s="2">
        <f t="shared" si="12"/>
        <v>56</v>
      </c>
      <c r="N57" s="3">
        <f t="shared" si="13"/>
        <v>43677</v>
      </c>
      <c r="O57" t="s">
        <v>287</v>
      </c>
      <c r="P57">
        <f t="shared" si="0"/>
        <v>2034</v>
      </c>
      <c r="Q57" s="6">
        <f t="shared" si="14"/>
        <v>11</v>
      </c>
      <c r="R57" s="5">
        <f t="shared" si="15"/>
        <v>23340.622499999998</v>
      </c>
      <c r="T57" s="5">
        <f t="shared" si="16"/>
        <v>0</v>
      </c>
      <c r="U57">
        <f t="shared" si="17"/>
        <v>0</v>
      </c>
      <c r="V57">
        <f t="shared" si="18"/>
        <v>40</v>
      </c>
      <c r="W57" t="str">
        <f t="shared" si="19"/>
        <v xml:space="preserve">BAE                                     </v>
      </c>
      <c r="X57">
        <f t="shared" si="20"/>
        <v>3</v>
      </c>
      <c r="Y57" t="str">
        <f t="shared" si="21"/>
        <v xml:space="preserve"> </v>
      </c>
      <c r="AB57" t="str">
        <f t="shared" si="7"/>
        <v>BAE</v>
      </c>
    </row>
    <row r="58" spans="1:28" x14ac:dyDescent="0.25">
      <c r="A58" s="17">
        <v>5110515</v>
      </c>
      <c r="B58" s="17" t="s">
        <v>276</v>
      </c>
      <c r="C58">
        <v>11</v>
      </c>
      <c r="D58" s="10">
        <v>23340.622499999998</v>
      </c>
      <c r="E58" s="11"/>
      <c r="F58">
        <v>21130901</v>
      </c>
      <c r="G58" t="s">
        <v>55</v>
      </c>
      <c r="H58">
        <v>114</v>
      </c>
      <c r="I58">
        <v>1</v>
      </c>
      <c r="L58">
        <v>88888</v>
      </c>
      <c r="M58" s="2">
        <f t="shared" si="12"/>
        <v>57</v>
      </c>
      <c r="N58" s="3">
        <f t="shared" si="13"/>
        <v>43677</v>
      </c>
      <c r="O58" t="s">
        <v>288</v>
      </c>
      <c r="P58">
        <f t="shared" si="0"/>
        <v>2035</v>
      </c>
      <c r="Q58" s="6">
        <f t="shared" si="14"/>
        <v>11</v>
      </c>
      <c r="R58" s="5">
        <f t="shared" si="15"/>
        <v>24610.97</v>
      </c>
      <c r="T58" s="5">
        <f t="shared" si="16"/>
        <v>0</v>
      </c>
      <c r="U58">
        <f t="shared" si="17"/>
        <v>0</v>
      </c>
      <c r="V58">
        <f t="shared" si="18"/>
        <v>40</v>
      </c>
      <c r="W58" t="str">
        <f t="shared" si="19"/>
        <v xml:space="preserve">HORAS EXTRAS                            </v>
      </c>
      <c r="X58">
        <f t="shared" si="20"/>
        <v>12</v>
      </c>
      <c r="Y58" t="str">
        <f t="shared" si="21"/>
        <v xml:space="preserve"> </v>
      </c>
      <c r="AB58" t="str">
        <f t="shared" si="7"/>
        <v>HORAS EXTRAS</v>
      </c>
    </row>
    <row r="59" spans="1:28" x14ac:dyDescent="0.25">
      <c r="A59" s="17">
        <v>5110516</v>
      </c>
      <c r="B59" s="17" t="s">
        <v>277</v>
      </c>
      <c r="C59">
        <v>11</v>
      </c>
      <c r="D59" s="10">
        <v>24610.97</v>
      </c>
      <c r="E59" s="11"/>
      <c r="F59">
        <v>21140101</v>
      </c>
      <c r="G59" t="s">
        <v>56</v>
      </c>
      <c r="H59">
        <v>120</v>
      </c>
      <c r="I59">
        <v>1</v>
      </c>
      <c r="L59">
        <v>88888</v>
      </c>
      <c r="M59" s="2">
        <f t="shared" si="12"/>
        <v>58</v>
      </c>
      <c r="N59" s="3">
        <f t="shared" si="13"/>
        <v>43677</v>
      </c>
      <c r="O59" t="s">
        <v>204</v>
      </c>
      <c r="P59">
        <f t="shared" si="0"/>
        <v>1081</v>
      </c>
      <c r="Q59" s="6">
        <f t="shared" si="14"/>
        <v>11</v>
      </c>
      <c r="R59" s="5">
        <f t="shared" si="15"/>
        <v>3.8</v>
      </c>
      <c r="T59" s="5">
        <f t="shared" si="16"/>
        <v>0</v>
      </c>
      <c r="U59">
        <f t="shared" si="17"/>
        <v>0</v>
      </c>
      <c r="V59">
        <f t="shared" si="18"/>
        <v>40</v>
      </c>
      <c r="W59" t="str">
        <f t="shared" si="19"/>
        <v xml:space="preserve">OTROS GASTOS EN PERSONAL                </v>
      </c>
      <c r="X59">
        <f t="shared" si="20"/>
        <v>24</v>
      </c>
      <c r="Y59" t="str">
        <f t="shared" si="21"/>
        <v xml:space="preserve"> </v>
      </c>
      <c r="AB59" t="str">
        <f t="shared" si="7"/>
        <v>OTROS GASTOS EN PERSONAL</v>
      </c>
    </row>
    <row r="60" spans="1:28" x14ac:dyDescent="0.25">
      <c r="A60" s="17">
        <v>5111501</v>
      </c>
      <c r="B60" s="17" t="s">
        <v>32</v>
      </c>
      <c r="C60">
        <v>11</v>
      </c>
      <c r="D60" s="10">
        <v>3.8</v>
      </c>
      <c r="E60" s="11"/>
      <c r="F60">
        <v>21140102</v>
      </c>
      <c r="G60" t="s">
        <v>57</v>
      </c>
      <c r="H60">
        <v>121</v>
      </c>
      <c r="I60">
        <v>1</v>
      </c>
      <c r="L60">
        <v>88888</v>
      </c>
      <c r="M60" s="2">
        <f t="shared" si="12"/>
        <v>59</v>
      </c>
      <c r="N60" s="3">
        <f t="shared" si="13"/>
        <v>43677</v>
      </c>
      <c r="O60" t="s">
        <v>203</v>
      </c>
      <c r="P60">
        <f t="shared" si="0"/>
        <v>1028</v>
      </c>
      <c r="Q60" s="6">
        <f t="shared" si="14"/>
        <v>12</v>
      </c>
      <c r="R60" s="5">
        <f t="shared" si="15"/>
        <v>137080.82999999999</v>
      </c>
      <c r="T60" s="5">
        <f t="shared" si="16"/>
        <v>0</v>
      </c>
      <c r="U60">
        <f t="shared" si="17"/>
        <v>0</v>
      </c>
      <c r="V60">
        <f t="shared" si="18"/>
        <v>40</v>
      </c>
      <c r="W60" t="str">
        <f t="shared" si="19"/>
        <v xml:space="preserve">SUELDOS                                 </v>
      </c>
      <c r="X60">
        <f t="shared" si="20"/>
        <v>7</v>
      </c>
      <c r="Y60" t="str">
        <f t="shared" si="21"/>
        <v xml:space="preserve"> </v>
      </c>
      <c r="AB60" t="str">
        <f t="shared" si="7"/>
        <v>SUELDOS</v>
      </c>
    </row>
    <row r="61" spans="1:28" x14ac:dyDescent="0.25">
      <c r="A61" s="17">
        <v>5110501</v>
      </c>
      <c r="B61" s="17" t="s">
        <v>25</v>
      </c>
      <c r="C61">
        <v>12</v>
      </c>
      <c r="D61" s="10">
        <v>137080.82999999999</v>
      </c>
      <c r="E61" s="11"/>
      <c r="F61">
        <v>21140103</v>
      </c>
      <c r="G61" t="s">
        <v>58</v>
      </c>
      <c r="H61">
        <v>122</v>
      </c>
      <c r="I61">
        <v>1</v>
      </c>
      <c r="L61">
        <v>88888</v>
      </c>
      <c r="M61" s="2">
        <f t="shared" si="12"/>
        <v>60</v>
      </c>
      <c r="N61" s="3">
        <f t="shared" si="13"/>
        <v>43677</v>
      </c>
      <c r="O61" t="s">
        <v>143</v>
      </c>
      <c r="P61">
        <f t="shared" si="0"/>
        <v>1029</v>
      </c>
      <c r="Q61" s="6">
        <f t="shared" si="14"/>
        <v>12</v>
      </c>
      <c r="R61" s="5">
        <f t="shared" si="15"/>
        <v>80849.31908679998</v>
      </c>
      <c r="T61" s="5">
        <f t="shared" si="16"/>
        <v>0</v>
      </c>
      <c r="U61">
        <f t="shared" si="17"/>
        <v>0</v>
      </c>
      <c r="V61">
        <f t="shared" si="18"/>
        <v>40</v>
      </c>
      <c r="W61" t="str">
        <f t="shared" si="19"/>
        <v xml:space="preserve">CARGAS SOCIALES                         </v>
      </c>
      <c r="X61">
        <f t="shared" si="20"/>
        <v>15</v>
      </c>
      <c r="Y61" t="str">
        <f t="shared" si="21"/>
        <v xml:space="preserve"> </v>
      </c>
      <c r="AB61" t="str">
        <f t="shared" si="7"/>
        <v>CARGAS SOCIALES</v>
      </c>
    </row>
    <row r="62" spans="1:28" x14ac:dyDescent="0.25">
      <c r="A62" s="17">
        <v>5110502</v>
      </c>
      <c r="B62" s="17" t="s">
        <v>27</v>
      </c>
      <c r="C62">
        <v>12</v>
      </c>
      <c r="D62" s="10">
        <v>80849.31908679998</v>
      </c>
      <c r="E62" s="11"/>
      <c r="F62">
        <v>21140104</v>
      </c>
      <c r="G62" t="s">
        <v>59</v>
      </c>
      <c r="H62">
        <v>123</v>
      </c>
      <c r="I62">
        <v>1</v>
      </c>
      <c r="L62">
        <v>88888</v>
      </c>
      <c r="M62" s="2">
        <f t="shared" si="12"/>
        <v>61</v>
      </c>
      <c r="N62" s="3">
        <f t="shared" si="13"/>
        <v>43677</v>
      </c>
      <c r="O62" t="s">
        <v>302</v>
      </c>
      <c r="P62">
        <f t="shared" si="0"/>
        <v>2032</v>
      </c>
      <c r="Q62" s="6">
        <f t="shared" si="14"/>
        <v>12</v>
      </c>
      <c r="R62" s="5">
        <f t="shared" si="15"/>
        <v>78391.83</v>
      </c>
      <c r="T62" s="5">
        <f t="shared" si="16"/>
        <v>0</v>
      </c>
      <c r="U62">
        <f t="shared" si="17"/>
        <v>0</v>
      </c>
      <c r="V62">
        <f t="shared" si="18"/>
        <v>40</v>
      </c>
      <c r="W62" t="str">
        <f t="shared" si="19"/>
        <v xml:space="preserve">SAC                                     </v>
      </c>
      <c r="X62">
        <f t="shared" si="20"/>
        <v>3</v>
      </c>
      <c r="Y62" t="str">
        <f t="shared" si="21"/>
        <v xml:space="preserve"> </v>
      </c>
      <c r="AB62" t="str">
        <f t="shared" si="7"/>
        <v>SAC</v>
      </c>
    </row>
    <row r="63" spans="1:28" x14ac:dyDescent="0.25">
      <c r="A63" s="17">
        <v>5110513</v>
      </c>
      <c r="B63" s="17" t="s">
        <v>274</v>
      </c>
      <c r="C63">
        <v>12</v>
      </c>
      <c r="D63" s="10">
        <v>78391.83</v>
      </c>
      <c r="E63" s="11"/>
      <c r="F63">
        <v>21140105</v>
      </c>
      <c r="G63" t="s">
        <v>60</v>
      </c>
      <c r="H63">
        <v>124</v>
      </c>
      <c r="I63">
        <v>1</v>
      </c>
      <c r="L63">
        <v>88888</v>
      </c>
      <c r="M63" s="2">
        <f t="shared" ref="M63:M86" si="22">+M62+1</f>
        <v>62</v>
      </c>
      <c r="N63" s="3">
        <f t="shared" ref="N63:N86" si="23">+A$1</f>
        <v>43677</v>
      </c>
      <c r="O63" t="s">
        <v>204</v>
      </c>
      <c r="P63">
        <f t="shared" si="0"/>
        <v>1081</v>
      </c>
      <c r="Q63" s="6">
        <f t="shared" ref="Q63:Q86" si="24">+C64</f>
        <v>12</v>
      </c>
      <c r="R63" s="5">
        <f t="shared" ref="R63:R86" si="25">+D64</f>
        <v>1.19</v>
      </c>
      <c r="T63" s="5">
        <f t="shared" ref="T63:T86" si="26">+E64</f>
        <v>0</v>
      </c>
      <c r="U63">
        <f t="shared" ref="U63:U86" si="27">LEN(S63)</f>
        <v>0</v>
      </c>
      <c r="V63">
        <f t="shared" ref="V63:V86" si="28">LEN(O63)</f>
        <v>40</v>
      </c>
      <c r="W63" t="str">
        <f t="shared" ref="W63:W86" si="29">AB63 &amp; REPT(" ",(40-X63))</f>
        <v xml:space="preserve">OTROS GASTOS EN PERSONAL                </v>
      </c>
      <c r="X63">
        <f t="shared" ref="X63:X86" si="30">LEN(AB63)</f>
        <v>24</v>
      </c>
      <c r="Y63" t="str">
        <f t="shared" ref="Y63:Y86" si="31">S63 &amp; REPT(" ",(1-U63))</f>
        <v xml:space="preserve"> </v>
      </c>
      <c r="AB63" t="str">
        <f t="shared" si="7"/>
        <v>OTROS GASTOS EN PERSONAL</v>
      </c>
    </row>
    <row r="64" spans="1:28" x14ac:dyDescent="0.25">
      <c r="A64" s="17">
        <v>5111501</v>
      </c>
      <c r="B64" s="17" t="s">
        <v>32</v>
      </c>
      <c r="C64">
        <v>12</v>
      </c>
      <c r="D64" s="10">
        <v>1.19</v>
      </c>
      <c r="E64" s="11"/>
      <c r="F64">
        <v>21140106</v>
      </c>
      <c r="G64" t="s">
        <v>61</v>
      </c>
      <c r="H64">
        <v>125</v>
      </c>
      <c r="I64">
        <v>1</v>
      </c>
      <c r="L64">
        <v>88888</v>
      </c>
      <c r="M64" s="2">
        <f t="shared" si="22"/>
        <v>63</v>
      </c>
      <c r="N64" s="3">
        <f t="shared" si="23"/>
        <v>43677</v>
      </c>
      <c r="O64" t="s">
        <v>203</v>
      </c>
      <c r="P64">
        <f t="shared" si="0"/>
        <v>1028</v>
      </c>
      <c r="Q64" s="6">
        <f t="shared" si="24"/>
        <v>14</v>
      </c>
      <c r="R64" s="5">
        <f t="shared" si="25"/>
        <v>255246.74</v>
      </c>
      <c r="T64" s="5">
        <f t="shared" si="26"/>
        <v>0</v>
      </c>
      <c r="U64">
        <f t="shared" si="27"/>
        <v>0</v>
      </c>
      <c r="V64">
        <f t="shared" si="28"/>
        <v>40</v>
      </c>
      <c r="W64" t="str">
        <f t="shared" si="29"/>
        <v xml:space="preserve">SUELDOS                                 </v>
      </c>
      <c r="X64">
        <f t="shared" si="30"/>
        <v>7</v>
      </c>
      <c r="Y64" t="str">
        <f t="shared" si="31"/>
        <v xml:space="preserve"> </v>
      </c>
      <c r="AB64" t="str">
        <f t="shared" si="7"/>
        <v>SUELDOS</v>
      </c>
    </row>
    <row r="65" spans="1:28" x14ac:dyDescent="0.25">
      <c r="A65" s="17">
        <v>5110501</v>
      </c>
      <c r="B65" s="17" t="s">
        <v>25</v>
      </c>
      <c r="C65">
        <v>14</v>
      </c>
      <c r="D65" s="10">
        <v>255246.74</v>
      </c>
      <c r="E65" s="11"/>
      <c r="F65">
        <v>21140107</v>
      </c>
      <c r="G65" t="s">
        <v>62</v>
      </c>
      <c r="H65">
        <v>126</v>
      </c>
      <c r="I65">
        <v>1</v>
      </c>
      <c r="L65">
        <v>88888</v>
      </c>
      <c r="M65" s="2">
        <f t="shared" si="22"/>
        <v>64</v>
      </c>
      <c r="N65" s="3">
        <f t="shared" si="23"/>
        <v>43677</v>
      </c>
      <c r="O65" t="s">
        <v>143</v>
      </c>
      <c r="P65">
        <f t="shared" si="0"/>
        <v>1029</v>
      </c>
      <c r="Q65" s="6">
        <f t="shared" si="24"/>
        <v>14</v>
      </c>
      <c r="R65" s="5">
        <f t="shared" si="25"/>
        <v>167771.44199379999</v>
      </c>
      <c r="T65" s="5">
        <f t="shared" si="26"/>
        <v>0</v>
      </c>
      <c r="U65">
        <f t="shared" si="27"/>
        <v>0</v>
      </c>
      <c r="V65">
        <f t="shared" si="28"/>
        <v>40</v>
      </c>
      <c r="W65" t="str">
        <f t="shared" si="29"/>
        <v xml:space="preserve">CARGAS SOCIALES                         </v>
      </c>
      <c r="X65">
        <f t="shared" si="30"/>
        <v>15</v>
      </c>
      <c r="Y65" t="str">
        <f t="shared" si="31"/>
        <v xml:space="preserve"> </v>
      </c>
      <c r="AB65" t="str">
        <f t="shared" si="7"/>
        <v>CARGAS SOCIALES</v>
      </c>
    </row>
    <row r="66" spans="1:28" x14ac:dyDescent="0.25">
      <c r="A66" s="17">
        <v>5110502</v>
      </c>
      <c r="B66" s="17" t="s">
        <v>27</v>
      </c>
      <c r="C66">
        <v>14</v>
      </c>
      <c r="D66" s="10">
        <v>167771.44199379999</v>
      </c>
      <c r="E66" s="11"/>
      <c r="F66">
        <v>21140108</v>
      </c>
      <c r="G66" t="s">
        <v>63</v>
      </c>
      <c r="H66">
        <v>127</v>
      </c>
      <c r="I66">
        <v>1</v>
      </c>
      <c r="L66">
        <v>88888</v>
      </c>
      <c r="M66" s="2">
        <f t="shared" si="22"/>
        <v>65</v>
      </c>
      <c r="N66" s="3">
        <f t="shared" si="23"/>
        <v>43677</v>
      </c>
      <c r="O66" t="s">
        <v>302</v>
      </c>
      <c r="P66">
        <f t="shared" ref="P66:P129" si="32">LOOKUP(A67,F$2:F$153,H$2:H$153)</f>
        <v>2032</v>
      </c>
      <c r="Q66" s="6">
        <f t="shared" si="24"/>
        <v>14</v>
      </c>
      <c r="R66" s="5">
        <f t="shared" si="25"/>
        <v>149117.20000000001</v>
      </c>
      <c r="T66" s="5">
        <f t="shared" si="26"/>
        <v>0</v>
      </c>
      <c r="U66">
        <f t="shared" si="27"/>
        <v>0</v>
      </c>
      <c r="V66">
        <f t="shared" si="28"/>
        <v>40</v>
      </c>
      <c r="W66" t="str">
        <f t="shared" si="29"/>
        <v xml:space="preserve">SAC                                     </v>
      </c>
      <c r="X66">
        <f t="shared" si="30"/>
        <v>3</v>
      </c>
      <c r="Y66" t="str">
        <f t="shared" si="31"/>
        <v xml:space="preserve"> </v>
      </c>
      <c r="AB66" t="str">
        <f t="shared" ref="AB66:AB129" si="33">LOOKUP(A67,F$2:F$153,G$2:G$153)</f>
        <v>SAC</v>
      </c>
    </row>
    <row r="67" spans="1:28" x14ac:dyDescent="0.25">
      <c r="A67" s="17">
        <v>5110513</v>
      </c>
      <c r="B67" s="17" t="s">
        <v>274</v>
      </c>
      <c r="C67">
        <v>14</v>
      </c>
      <c r="D67" s="10">
        <v>149117.20000000001</v>
      </c>
      <c r="E67" s="11"/>
      <c r="F67">
        <v>21140109</v>
      </c>
      <c r="G67" t="s">
        <v>64</v>
      </c>
      <c r="H67">
        <v>128</v>
      </c>
      <c r="I67">
        <v>1</v>
      </c>
      <c r="L67">
        <v>88888</v>
      </c>
      <c r="M67" s="2">
        <f t="shared" si="22"/>
        <v>66</v>
      </c>
      <c r="N67" s="3">
        <f t="shared" si="23"/>
        <v>43677</v>
      </c>
      <c r="O67" t="s">
        <v>288</v>
      </c>
      <c r="P67">
        <f t="shared" si="32"/>
        <v>2035</v>
      </c>
      <c r="Q67" s="6">
        <f t="shared" si="24"/>
        <v>14</v>
      </c>
      <c r="R67" s="5">
        <f t="shared" si="25"/>
        <v>31175.87</v>
      </c>
      <c r="T67" s="5">
        <f t="shared" si="26"/>
        <v>0</v>
      </c>
      <c r="U67">
        <f t="shared" si="27"/>
        <v>0</v>
      </c>
      <c r="V67">
        <f t="shared" si="28"/>
        <v>40</v>
      </c>
      <c r="W67" t="str">
        <f t="shared" si="29"/>
        <v xml:space="preserve">HORAS EXTRAS                            </v>
      </c>
      <c r="X67">
        <f t="shared" si="30"/>
        <v>12</v>
      </c>
      <c r="Y67" t="str">
        <f t="shared" si="31"/>
        <v xml:space="preserve"> </v>
      </c>
      <c r="AB67" t="str">
        <f t="shared" si="33"/>
        <v>HORAS EXTRAS</v>
      </c>
    </row>
    <row r="68" spans="1:28" x14ac:dyDescent="0.25">
      <c r="A68" s="17">
        <v>5110516</v>
      </c>
      <c r="B68" s="17" t="s">
        <v>277</v>
      </c>
      <c r="C68">
        <v>14</v>
      </c>
      <c r="D68" s="10">
        <v>31175.87</v>
      </c>
      <c r="E68" s="11"/>
      <c r="F68">
        <v>21140110</v>
      </c>
      <c r="G68" t="s">
        <v>65</v>
      </c>
      <c r="H68">
        <v>129</v>
      </c>
      <c r="I68">
        <v>1</v>
      </c>
      <c r="L68">
        <v>88888</v>
      </c>
      <c r="M68" s="2">
        <f t="shared" si="22"/>
        <v>67</v>
      </c>
      <c r="N68" s="3">
        <f t="shared" si="23"/>
        <v>43677</v>
      </c>
      <c r="O68" t="s">
        <v>204</v>
      </c>
      <c r="P68">
        <f t="shared" si="32"/>
        <v>1081</v>
      </c>
      <c r="Q68" s="6">
        <f t="shared" si="24"/>
        <v>14</v>
      </c>
      <c r="R68" s="5">
        <f t="shared" si="25"/>
        <v>1.1599999999999999</v>
      </c>
      <c r="T68" s="5">
        <f t="shared" si="26"/>
        <v>0</v>
      </c>
      <c r="U68">
        <f t="shared" si="27"/>
        <v>0</v>
      </c>
      <c r="V68">
        <f t="shared" si="28"/>
        <v>40</v>
      </c>
      <c r="W68" t="str">
        <f t="shared" si="29"/>
        <v xml:space="preserve">OTROS GASTOS EN PERSONAL                </v>
      </c>
      <c r="X68">
        <f t="shared" si="30"/>
        <v>24</v>
      </c>
      <c r="Y68" t="str">
        <f t="shared" si="31"/>
        <v xml:space="preserve"> </v>
      </c>
      <c r="AB68" t="str">
        <f t="shared" si="33"/>
        <v>OTROS GASTOS EN PERSONAL</v>
      </c>
    </row>
    <row r="69" spans="1:28" x14ac:dyDescent="0.25">
      <c r="A69" s="17">
        <v>5111501</v>
      </c>
      <c r="B69" s="17" t="s">
        <v>32</v>
      </c>
      <c r="C69">
        <v>14</v>
      </c>
      <c r="D69" s="10">
        <v>1.1599999999999999</v>
      </c>
      <c r="E69" s="11"/>
      <c r="F69">
        <v>21140111</v>
      </c>
      <c r="G69" t="s">
        <v>66</v>
      </c>
      <c r="H69">
        <v>130</v>
      </c>
      <c r="I69">
        <v>1</v>
      </c>
      <c r="L69">
        <v>88888</v>
      </c>
      <c r="M69" s="2">
        <f t="shared" si="22"/>
        <v>68</v>
      </c>
      <c r="N69" s="3">
        <f t="shared" si="23"/>
        <v>43677</v>
      </c>
      <c r="O69" t="s">
        <v>203</v>
      </c>
      <c r="P69">
        <f t="shared" si="32"/>
        <v>1028</v>
      </c>
      <c r="Q69" s="6">
        <f t="shared" si="24"/>
        <v>15</v>
      </c>
      <c r="R69" s="5">
        <f t="shared" si="25"/>
        <v>574485.14</v>
      </c>
      <c r="T69" s="5">
        <f t="shared" si="26"/>
        <v>0</v>
      </c>
      <c r="U69">
        <f t="shared" si="27"/>
        <v>0</v>
      </c>
      <c r="V69">
        <f t="shared" si="28"/>
        <v>40</v>
      </c>
      <c r="W69" t="str">
        <f t="shared" si="29"/>
        <v xml:space="preserve">SUELDOS                                 </v>
      </c>
      <c r="X69">
        <f t="shared" si="30"/>
        <v>7</v>
      </c>
      <c r="Y69" t="str">
        <f t="shared" si="31"/>
        <v xml:space="preserve"> </v>
      </c>
      <c r="AB69" t="str">
        <f t="shared" si="33"/>
        <v>SUELDOS</v>
      </c>
    </row>
    <row r="70" spans="1:28" x14ac:dyDescent="0.25">
      <c r="A70" s="17">
        <v>5110501</v>
      </c>
      <c r="B70" s="17" t="s">
        <v>25</v>
      </c>
      <c r="C70">
        <v>15</v>
      </c>
      <c r="D70" s="10">
        <v>574485.14</v>
      </c>
      <c r="E70" s="11"/>
      <c r="F70">
        <v>21140112</v>
      </c>
      <c r="G70" t="s">
        <v>67</v>
      </c>
      <c r="H70">
        <v>131</v>
      </c>
      <c r="I70">
        <v>1</v>
      </c>
      <c r="L70">
        <v>88888</v>
      </c>
      <c r="M70" s="2">
        <f t="shared" si="22"/>
        <v>69</v>
      </c>
      <c r="N70" s="3">
        <f t="shared" si="23"/>
        <v>43677</v>
      </c>
      <c r="O70" t="s">
        <v>143</v>
      </c>
      <c r="P70">
        <f t="shared" si="32"/>
        <v>1029</v>
      </c>
      <c r="Q70" s="6">
        <f t="shared" si="24"/>
        <v>15</v>
      </c>
      <c r="R70" s="5">
        <f t="shared" si="25"/>
        <v>357281.20192399994</v>
      </c>
      <c r="T70" s="5">
        <f t="shared" si="26"/>
        <v>0</v>
      </c>
      <c r="U70">
        <f t="shared" si="27"/>
        <v>0</v>
      </c>
      <c r="V70">
        <f t="shared" si="28"/>
        <v>40</v>
      </c>
      <c r="W70" t="str">
        <f t="shared" si="29"/>
        <v xml:space="preserve">CARGAS SOCIALES                         </v>
      </c>
      <c r="X70">
        <f t="shared" si="30"/>
        <v>15</v>
      </c>
      <c r="Y70" t="str">
        <f t="shared" si="31"/>
        <v xml:space="preserve"> </v>
      </c>
      <c r="AB70" t="str">
        <f t="shared" si="33"/>
        <v>CARGAS SOCIALES</v>
      </c>
    </row>
    <row r="71" spans="1:28" x14ac:dyDescent="0.25">
      <c r="A71" s="17">
        <v>5110502</v>
      </c>
      <c r="B71" s="17" t="s">
        <v>27</v>
      </c>
      <c r="C71">
        <v>15</v>
      </c>
      <c r="D71" s="10">
        <v>357281.20192399994</v>
      </c>
      <c r="E71" s="11"/>
      <c r="F71">
        <v>21140113</v>
      </c>
      <c r="G71" t="s">
        <v>68</v>
      </c>
      <c r="H71">
        <v>132</v>
      </c>
      <c r="I71">
        <v>1</v>
      </c>
      <c r="L71">
        <v>88888</v>
      </c>
      <c r="M71" s="2">
        <f t="shared" si="22"/>
        <v>70</v>
      </c>
      <c r="N71" s="3">
        <f t="shared" si="23"/>
        <v>43677</v>
      </c>
      <c r="O71" t="s">
        <v>302</v>
      </c>
      <c r="P71">
        <f t="shared" si="32"/>
        <v>2032</v>
      </c>
      <c r="Q71" s="6">
        <f t="shared" si="24"/>
        <v>15</v>
      </c>
      <c r="R71" s="5">
        <f t="shared" si="25"/>
        <v>356653.83</v>
      </c>
      <c r="T71" s="5">
        <f t="shared" si="26"/>
        <v>0</v>
      </c>
      <c r="U71">
        <f t="shared" si="27"/>
        <v>0</v>
      </c>
      <c r="V71">
        <f t="shared" si="28"/>
        <v>40</v>
      </c>
      <c r="W71" t="str">
        <f t="shared" si="29"/>
        <v xml:space="preserve">SAC                                     </v>
      </c>
      <c r="X71">
        <f t="shared" si="30"/>
        <v>3</v>
      </c>
      <c r="Y71" t="str">
        <f t="shared" si="31"/>
        <v xml:space="preserve"> </v>
      </c>
      <c r="AB71" t="str">
        <f t="shared" si="33"/>
        <v>SAC</v>
      </c>
    </row>
    <row r="72" spans="1:28" x14ac:dyDescent="0.25">
      <c r="A72" s="17">
        <v>5110513</v>
      </c>
      <c r="B72" s="17" t="s">
        <v>274</v>
      </c>
      <c r="C72">
        <v>15</v>
      </c>
      <c r="D72" s="10">
        <v>356653.83</v>
      </c>
      <c r="E72" s="11"/>
      <c r="F72">
        <v>21140114</v>
      </c>
      <c r="G72" t="s">
        <v>69</v>
      </c>
      <c r="H72">
        <v>133</v>
      </c>
      <c r="I72">
        <v>1</v>
      </c>
      <c r="L72">
        <v>88888</v>
      </c>
      <c r="M72" s="2">
        <f t="shared" si="22"/>
        <v>71</v>
      </c>
      <c r="N72" s="3">
        <f t="shared" si="23"/>
        <v>43677</v>
      </c>
      <c r="O72" t="s">
        <v>288</v>
      </c>
      <c r="P72">
        <f t="shared" si="32"/>
        <v>2035</v>
      </c>
      <c r="Q72" s="6">
        <f t="shared" si="24"/>
        <v>15</v>
      </c>
      <c r="R72" s="5">
        <f t="shared" si="25"/>
        <v>28774.83</v>
      </c>
      <c r="T72" s="5">
        <f t="shared" si="26"/>
        <v>0</v>
      </c>
      <c r="U72">
        <f t="shared" si="27"/>
        <v>0</v>
      </c>
      <c r="V72">
        <f t="shared" si="28"/>
        <v>40</v>
      </c>
      <c r="W72" t="str">
        <f t="shared" si="29"/>
        <v xml:space="preserve">HORAS EXTRAS                            </v>
      </c>
      <c r="X72">
        <f t="shared" si="30"/>
        <v>12</v>
      </c>
      <c r="Y72" t="str">
        <f t="shared" si="31"/>
        <v xml:space="preserve"> </v>
      </c>
      <c r="AB72" t="str">
        <f t="shared" si="33"/>
        <v>HORAS EXTRAS</v>
      </c>
    </row>
    <row r="73" spans="1:28" x14ac:dyDescent="0.25">
      <c r="A73" s="17">
        <v>5110516</v>
      </c>
      <c r="B73" s="17" t="s">
        <v>277</v>
      </c>
      <c r="C73">
        <v>15</v>
      </c>
      <c r="D73" s="10">
        <v>28774.83</v>
      </c>
      <c r="E73" s="11"/>
      <c r="F73">
        <v>21140115</v>
      </c>
      <c r="G73" t="s">
        <v>70</v>
      </c>
      <c r="H73">
        <v>134</v>
      </c>
      <c r="I73">
        <v>1</v>
      </c>
      <c r="L73">
        <v>88888</v>
      </c>
      <c r="M73" s="2">
        <f t="shared" si="22"/>
        <v>72</v>
      </c>
      <c r="N73" s="3">
        <f t="shared" si="23"/>
        <v>43677</v>
      </c>
      <c r="O73" t="s">
        <v>204</v>
      </c>
      <c r="P73">
        <f t="shared" si="32"/>
        <v>1081</v>
      </c>
      <c r="Q73" s="6">
        <f t="shared" si="24"/>
        <v>15</v>
      </c>
      <c r="R73" s="5">
        <f t="shared" si="25"/>
        <v>8602.33</v>
      </c>
      <c r="T73" s="5">
        <f t="shared" si="26"/>
        <v>0</v>
      </c>
      <c r="U73">
        <f t="shared" si="27"/>
        <v>0</v>
      </c>
      <c r="V73">
        <f t="shared" si="28"/>
        <v>40</v>
      </c>
      <c r="W73" t="str">
        <f t="shared" si="29"/>
        <v xml:space="preserve">OTROS GASTOS EN PERSONAL                </v>
      </c>
      <c r="X73">
        <f t="shared" si="30"/>
        <v>24</v>
      </c>
      <c r="Y73" t="str">
        <f t="shared" si="31"/>
        <v xml:space="preserve"> </v>
      </c>
      <c r="AB73" t="str">
        <f t="shared" si="33"/>
        <v>OTROS GASTOS EN PERSONAL</v>
      </c>
    </row>
    <row r="74" spans="1:28" x14ac:dyDescent="0.25">
      <c r="A74" s="17">
        <v>5111501</v>
      </c>
      <c r="B74" s="17" t="s">
        <v>32</v>
      </c>
      <c r="C74">
        <v>15</v>
      </c>
      <c r="D74" s="10">
        <v>8602.33</v>
      </c>
      <c r="E74" s="11"/>
      <c r="F74">
        <v>21140116</v>
      </c>
      <c r="G74" t="s">
        <v>71</v>
      </c>
      <c r="H74">
        <v>135</v>
      </c>
      <c r="I74">
        <v>1</v>
      </c>
      <c r="L74">
        <v>88888</v>
      </c>
      <c r="M74" s="2">
        <f t="shared" si="22"/>
        <v>73</v>
      </c>
      <c r="N74" s="3">
        <f t="shared" si="23"/>
        <v>43677</v>
      </c>
      <c r="O74" t="s">
        <v>203</v>
      </c>
      <c r="P74">
        <f t="shared" si="32"/>
        <v>1028</v>
      </c>
      <c r="Q74" s="6">
        <f t="shared" si="24"/>
        <v>16</v>
      </c>
      <c r="R74" s="5">
        <f t="shared" si="25"/>
        <v>125246.55</v>
      </c>
      <c r="T74" s="5">
        <f t="shared" si="26"/>
        <v>0</v>
      </c>
      <c r="U74">
        <f t="shared" si="27"/>
        <v>0</v>
      </c>
      <c r="V74">
        <f t="shared" si="28"/>
        <v>40</v>
      </c>
      <c r="W74" t="str">
        <f t="shared" si="29"/>
        <v xml:space="preserve">SUELDOS                                 </v>
      </c>
      <c r="X74">
        <f t="shared" si="30"/>
        <v>7</v>
      </c>
      <c r="Y74" t="str">
        <f t="shared" si="31"/>
        <v xml:space="preserve"> </v>
      </c>
      <c r="AB74" t="str">
        <f t="shared" si="33"/>
        <v>SUELDOS</v>
      </c>
    </row>
    <row r="75" spans="1:28" x14ac:dyDescent="0.25">
      <c r="A75" s="17">
        <v>5110501</v>
      </c>
      <c r="B75" s="17" t="s">
        <v>25</v>
      </c>
      <c r="C75">
        <v>16</v>
      </c>
      <c r="D75" s="10">
        <v>125246.55</v>
      </c>
      <c r="E75" s="11"/>
      <c r="F75">
        <v>21140117</v>
      </c>
      <c r="G75" t="s">
        <v>72</v>
      </c>
      <c r="H75">
        <v>136</v>
      </c>
      <c r="I75">
        <v>1</v>
      </c>
      <c r="L75">
        <v>88888</v>
      </c>
      <c r="M75" s="2">
        <f t="shared" si="22"/>
        <v>74</v>
      </c>
      <c r="N75" s="3">
        <f t="shared" si="23"/>
        <v>43677</v>
      </c>
      <c r="O75" t="s">
        <v>143</v>
      </c>
      <c r="P75">
        <f t="shared" si="32"/>
        <v>1029</v>
      </c>
      <c r="Q75" s="6">
        <f t="shared" si="24"/>
        <v>16</v>
      </c>
      <c r="R75" s="5">
        <f t="shared" si="25"/>
        <v>52074.094880000004</v>
      </c>
      <c r="T75" s="5">
        <f t="shared" si="26"/>
        <v>0</v>
      </c>
      <c r="U75">
        <f t="shared" si="27"/>
        <v>0</v>
      </c>
      <c r="V75">
        <f t="shared" si="28"/>
        <v>40</v>
      </c>
      <c r="W75" t="str">
        <f t="shared" si="29"/>
        <v xml:space="preserve">CARGAS SOCIALES                         </v>
      </c>
      <c r="X75">
        <f t="shared" si="30"/>
        <v>15</v>
      </c>
      <c r="Y75" t="str">
        <f t="shared" si="31"/>
        <v xml:space="preserve"> </v>
      </c>
      <c r="AB75" t="str">
        <f t="shared" si="33"/>
        <v>CARGAS SOCIALES</v>
      </c>
    </row>
    <row r="76" spans="1:28" x14ac:dyDescent="0.25">
      <c r="A76" s="17">
        <v>5110502</v>
      </c>
      <c r="B76" s="17" t="s">
        <v>27</v>
      </c>
      <c r="C76">
        <v>16</v>
      </c>
      <c r="D76" s="10">
        <v>52074.094880000004</v>
      </c>
      <c r="E76" s="11"/>
      <c r="F76">
        <v>21140118</v>
      </c>
      <c r="G76" t="s">
        <v>73</v>
      </c>
      <c r="H76">
        <v>137</v>
      </c>
      <c r="I76">
        <v>1</v>
      </c>
      <c r="L76">
        <v>88888</v>
      </c>
      <c r="M76" s="2">
        <f t="shared" si="22"/>
        <v>75</v>
      </c>
      <c r="N76" s="3">
        <f t="shared" si="23"/>
        <v>43677</v>
      </c>
      <c r="O76" t="s">
        <v>302</v>
      </c>
      <c r="P76">
        <f t="shared" si="32"/>
        <v>2032</v>
      </c>
      <c r="Q76" s="6">
        <f t="shared" si="24"/>
        <v>16</v>
      </c>
      <c r="R76" s="5">
        <f t="shared" si="25"/>
        <v>68438.3</v>
      </c>
      <c r="T76" s="5">
        <f t="shared" si="26"/>
        <v>0</v>
      </c>
      <c r="U76">
        <f t="shared" si="27"/>
        <v>0</v>
      </c>
      <c r="V76">
        <f t="shared" si="28"/>
        <v>40</v>
      </c>
      <c r="W76" t="str">
        <f t="shared" si="29"/>
        <v xml:space="preserve">SAC                                     </v>
      </c>
      <c r="X76">
        <f t="shared" si="30"/>
        <v>3</v>
      </c>
      <c r="Y76" t="str">
        <f t="shared" si="31"/>
        <v xml:space="preserve"> </v>
      </c>
      <c r="AB76" t="str">
        <f t="shared" si="33"/>
        <v>SAC</v>
      </c>
    </row>
    <row r="77" spans="1:28" x14ac:dyDescent="0.25">
      <c r="A77" s="17">
        <v>5110513</v>
      </c>
      <c r="B77" s="17" t="s">
        <v>274</v>
      </c>
      <c r="C77">
        <v>16</v>
      </c>
      <c r="D77" s="10">
        <v>68438.3</v>
      </c>
      <c r="E77" s="11"/>
      <c r="F77">
        <v>21140119</v>
      </c>
      <c r="G77" t="s">
        <v>74</v>
      </c>
      <c r="H77">
        <v>138</v>
      </c>
      <c r="I77">
        <v>1</v>
      </c>
      <c r="L77">
        <v>88888</v>
      </c>
      <c r="M77" s="2">
        <f t="shared" si="22"/>
        <v>76</v>
      </c>
      <c r="N77" s="3">
        <f t="shared" si="23"/>
        <v>43677</v>
      </c>
      <c r="O77" t="s">
        <v>288</v>
      </c>
      <c r="P77">
        <f t="shared" si="32"/>
        <v>2035</v>
      </c>
      <c r="Q77" s="6">
        <f t="shared" si="24"/>
        <v>16</v>
      </c>
      <c r="R77" s="5">
        <f t="shared" si="25"/>
        <v>11630.04</v>
      </c>
      <c r="T77" s="5">
        <f t="shared" si="26"/>
        <v>0</v>
      </c>
      <c r="U77">
        <f t="shared" si="27"/>
        <v>0</v>
      </c>
      <c r="V77">
        <f t="shared" si="28"/>
        <v>40</v>
      </c>
      <c r="W77" t="str">
        <f t="shared" si="29"/>
        <v xml:space="preserve">HORAS EXTRAS                            </v>
      </c>
      <c r="X77">
        <f t="shared" si="30"/>
        <v>12</v>
      </c>
      <c r="Y77" t="str">
        <f t="shared" si="31"/>
        <v xml:space="preserve"> </v>
      </c>
      <c r="AB77" t="str">
        <f t="shared" si="33"/>
        <v>HORAS EXTRAS</v>
      </c>
    </row>
    <row r="78" spans="1:28" x14ac:dyDescent="0.25">
      <c r="A78" s="17">
        <v>5110516</v>
      </c>
      <c r="B78" s="17" t="s">
        <v>277</v>
      </c>
      <c r="C78">
        <v>16</v>
      </c>
      <c r="D78" s="10">
        <v>11630.04</v>
      </c>
      <c r="E78" s="11"/>
      <c r="F78">
        <v>21140120</v>
      </c>
      <c r="G78" t="s">
        <v>75</v>
      </c>
      <c r="H78">
        <v>139</v>
      </c>
      <c r="I78">
        <v>1</v>
      </c>
      <c r="L78">
        <v>88888</v>
      </c>
      <c r="M78" s="2">
        <f t="shared" si="22"/>
        <v>77</v>
      </c>
      <c r="N78" s="3">
        <f t="shared" si="23"/>
        <v>43677</v>
      </c>
      <c r="O78" t="s">
        <v>204</v>
      </c>
      <c r="P78">
        <f t="shared" si="32"/>
        <v>1081</v>
      </c>
      <c r="Q78" s="6">
        <f t="shared" si="24"/>
        <v>16</v>
      </c>
      <c r="R78" s="5">
        <f t="shared" si="25"/>
        <v>0.04</v>
      </c>
      <c r="T78" s="5">
        <f t="shared" si="26"/>
        <v>0</v>
      </c>
      <c r="U78">
        <f t="shared" si="27"/>
        <v>0</v>
      </c>
      <c r="V78">
        <f t="shared" si="28"/>
        <v>40</v>
      </c>
      <c r="W78" t="str">
        <f t="shared" si="29"/>
        <v xml:space="preserve">OTROS GASTOS EN PERSONAL                </v>
      </c>
      <c r="X78">
        <f t="shared" si="30"/>
        <v>24</v>
      </c>
      <c r="Y78" t="str">
        <f t="shared" si="31"/>
        <v xml:space="preserve"> </v>
      </c>
      <c r="AB78" t="str">
        <f t="shared" si="33"/>
        <v>OTROS GASTOS EN PERSONAL</v>
      </c>
    </row>
    <row r="79" spans="1:28" x14ac:dyDescent="0.25">
      <c r="A79" s="17">
        <v>5111501</v>
      </c>
      <c r="B79" s="17" t="s">
        <v>32</v>
      </c>
      <c r="C79">
        <v>16</v>
      </c>
      <c r="D79" s="10">
        <v>0.04</v>
      </c>
      <c r="E79" s="11"/>
      <c r="F79">
        <v>21140121</v>
      </c>
      <c r="G79" t="s">
        <v>76</v>
      </c>
      <c r="H79">
        <v>141</v>
      </c>
      <c r="I79">
        <v>1</v>
      </c>
      <c r="L79">
        <v>88888</v>
      </c>
      <c r="M79" s="2">
        <f t="shared" si="22"/>
        <v>78</v>
      </c>
      <c r="N79" s="3">
        <f t="shared" si="23"/>
        <v>43677</v>
      </c>
      <c r="O79" t="s">
        <v>203</v>
      </c>
      <c r="P79">
        <f t="shared" si="32"/>
        <v>1028</v>
      </c>
      <c r="Q79" s="6">
        <f t="shared" si="24"/>
        <v>17</v>
      </c>
      <c r="R79" s="5">
        <f t="shared" si="25"/>
        <v>582921.98</v>
      </c>
      <c r="T79" s="5">
        <f t="shared" si="26"/>
        <v>0</v>
      </c>
      <c r="U79">
        <f t="shared" si="27"/>
        <v>0</v>
      </c>
      <c r="V79">
        <f t="shared" si="28"/>
        <v>40</v>
      </c>
      <c r="W79" t="str">
        <f t="shared" si="29"/>
        <v xml:space="preserve">SUELDOS                                 </v>
      </c>
      <c r="X79">
        <f t="shared" si="30"/>
        <v>7</v>
      </c>
      <c r="Y79" t="str">
        <f t="shared" si="31"/>
        <v xml:space="preserve"> </v>
      </c>
      <c r="AB79" t="str">
        <f t="shared" si="33"/>
        <v>SUELDOS</v>
      </c>
    </row>
    <row r="80" spans="1:28" x14ac:dyDescent="0.25">
      <c r="A80" s="17">
        <v>5110501</v>
      </c>
      <c r="B80" s="17" t="s">
        <v>25</v>
      </c>
      <c r="C80">
        <v>17</v>
      </c>
      <c r="D80" s="10">
        <v>582921.98</v>
      </c>
      <c r="E80" s="11"/>
      <c r="F80">
        <v>21140122</v>
      </c>
      <c r="G80" t="s">
        <v>77</v>
      </c>
      <c r="H80">
        <v>142</v>
      </c>
      <c r="I80">
        <v>1</v>
      </c>
      <c r="L80">
        <v>88888</v>
      </c>
      <c r="M80" s="2">
        <f t="shared" si="22"/>
        <v>79</v>
      </c>
      <c r="N80" s="3">
        <f t="shared" si="23"/>
        <v>43677</v>
      </c>
      <c r="O80" t="s">
        <v>143</v>
      </c>
      <c r="P80">
        <f t="shared" si="32"/>
        <v>1029</v>
      </c>
      <c r="Q80" s="6">
        <f t="shared" si="24"/>
        <v>17</v>
      </c>
      <c r="R80" s="5">
        <f t="shared" si="25"/>
        <v>230015.27887999997</v>
      </c>
      <c r="T80" s="5">
        <f t="shared" si="26"/>
        <v>0</v>
      </c>
      <c r="U80">
        <f t="shared" si="27"/>
        <v>0</v>
      </c>
      <c r="V80">
        <f t="shared" si="28"/>
        <v>40</v>
      </c>
      <c r="W80" t="str">
        <f t="shared" si="29"/>
        <v xml:space="preserve">CARGAS SOCIALES                         </v>
      </c>
      <c r="X80">
        <f t="shared" si="30"/>
        <v>15</v>
      </c>
      <c r="Y80" t="str">
        <f t="shared" si="31"/>
        <v xml:space="preserve"> </v>
      </c>
      <c r="AB80" t="str">
        <f t="shared" si="33"/>
        <v>CARGAS SOCIALES</v>
      </c>
    </row>
    <row r="81" spans="1:28" x14ac:dyDescent="0.25">
      <c r="A81" s="17">
        <v>5110502</v>
      </c>
      <c r="B81" s="17" t="s">
        <v>27</v>
      </c>
      <c r="C81">
        <v>17</v>
      </c>
      <c r="D81" s="10">
        <v>230015.27887999997</v>
      </c>
      <c r="E81" s="11"/>
      <c r="F81">
        <v>21140123</v>
      </c>
      <c r="G81" t="s">
        <v>78</v>
      </c>
      <c r="H81">
        <v>143</v>
      </c>
      <c r="I81">
        <v>1</v>
      </c>
      <c r="L81">
        <v>88888</v>
      </c>
      <c r="M81" s="2">
        <f t="shared" si="22"/>
        <v>80</v>
      </c>
      <c r="N81" s="3">
        <f t="shared" si="23"/>
        <v>43677</v>
      </c>
      <c r="O81" t="s">
        <v>302</v>
      </c>
      <c r="P81">
        <f t="shared" si="32"/>
        <v>2032</v>
      </c>
      <c r="Q81" s="6">
        <f t="shared" si="24"/>
        <v>17</v>
      </c>
      <c r="R81" s="5">
        <f t="shared" si="25"/>
        <v>309167.90000000002</v>
      </c>
      <c r="T81" s="5">
        <f t="shared" si="26"/>
        <v>0</v>
      </c>
      <c r="U81">
        <f t="shared" si="27"/>
        <v>0</v>
      </c>
      <c r="V81">
        <f t="shared" si="28"/>
        <v>40</v>
      </c>
      <c r="W81" t="str">
        <f t="shared" si="29"/>
        <v xml:space="preserve">SAC                                     </v>
      </c>
      <c r="X81">
        <f t="shared" si="30"/>
        <v>3</v>
      </c>
      <c r="Y81" t="str">
        <f t="shared" si="31"/>
        <v xml:space="preserve"> </v>
      </c>
      <c r="AB81" t="str">
        <f t="shared" si="33"/>
        <v>SAC</v>
      </c>
    </row>
    <row r="82" spans="1:28" x14ac:dyDescent="0.25">
      <c r="A82" s="17">
        <v>5110513</v>
      </c>
      <c r="B82" s="17" t="s">
        <v>274</v>
      </c>
      <c r="C82">
        <v>17</v>
      </c>
      <c r="D82" s="10">
        <v>309167.90000000002</v>
      </c>
      <c r="E82" s="11"/>
      <c r="F82">
        <v>21140124</v>
      </c>
      <c r="G82" t="s">
        <v>79</v>
      </c>
      <c r="H82">
        <v>144</v>
      </c>
      <c r="I82">
        <v>1</v>
      </c>
      <c r="L82">
        <v>88888</v>
      </c>
      <c r="M82" s="2">
        <f t="shared" si="22"/>
        <v>81</v>
      </c>
      <c r="N82" s="3">
        <f t="shared" si="23"/>
        <v>43677</v>
      </c>
      <c r="O82" t="s">
        <v>288</v>
      </c>
      <c r="P82">
        <f t="shared" si="32"/>
        <v>2035</v>
      </c>
      <c r="Q82" s="6">
        <f t="shared" si="24"/>
        <v>17</v>
      </c>
      <c r="R82" s="5">
        <f t="shared" si="25"/>
        <v>35631.83</v>
      </c>
      <c r="T82" s="5">
        <f t="shared" si="26"/>
        <v>0</v>
      </c>
      <c r="U82">
        <f t="shared" si="27"/>
        <v>0</v>
      </c>
      <c r="V82">
        <f t="shared" si="28"/>
        <v>40</v>
      </c>
      <c r="W82" t="str">
        <f t="shared" si="29"/>
        <v xml:space="preserve">HORAS EXTRAS                            </v>
      </c>
      <c r="X82">
        <f t="shared" si="30"/>
        <v>12</v>
      </c>
      <c r="Y82" t="str">
        <f t="shared" si="31"/>
        <v xml:space="preserve"> </v>
      </c>
      <c r="AB82" t="str">
        <f t="shared" si="33"/>
        <v>HORAS EXTRAS</v>
      </c>
    </row>
    <row r="83" spans="1:28" x14ac:dyDescent="0.25">
      <c r="A83" s="17">
        <v>5110516</v>
      </c>
      <c r="B83" s="17" t="s">
        <v>277</v>
      </c>
      <c r="C83">
        <v>17</v>
      </c>
      <c r="D83" s="10">
        <v>35631.83</v>
      </c>
      <c r="E83" s="11"/>
      <c r="F83">
        <v>21140125</v>
      </c>
      <c r="G83" t="s">
        <v>80</v>
      </c>
      <c r="H83">
        <v>145</v>
      </c>
      <c r="I83">
        <v>1</v>
      </c>
      <c r="L83">
        <v>88888</v>
      </c>
      <c r="M83" s="2">
        <f t="shared" si="22"/>
        <v>82</v>
      </c>
      <c r="N83" s="3">
        <f t="shared" si="23"/>
        <v>43677</v>
      </c>
      <c r="O83" t="s">
        <v>204</v>
      </c>
      <c r="P83">
        <f t="shared" si="32"/>
        <v>1081</v>
      </c>
      <c r="Q83" s="6">
        <f t="shared" si="24"/>
        <v>17</v>
      </c>
      <c r="R83" s="5">
        <f t="shared" si="25"/>
        <v>3.69</v>
      </c>
      <c r="T83" s="5">
        <f t="shared" si="26"/>
        <v>0</v>
      </c>
      <c r="U83">
        <f t="shared" si="27"/>
        <v>0</v>
      </c>
      <c r="V83">
        <f t="shared" si="28"/>
        <v>40</v>
      </c>
      <c r="W83" t="str">
        <f t="shared" si="29"/>
        <v xml:space="preserve">OTROS GASTOS EN PERSONAL                </v>
      </c>
      <c r="X83">
        <f t="shared" si="30"/>
        <v>24</v>
      </c>
      <c r="Y83" t="str">
        <f t="shared" si="31"/>
        <v xml:space="preserve"> </v>
      </c>
      <c r="AB83" t="str">
        <f t="shared" si="33"/>
        <v>OTROS GASTOS EN PERSONAL</v>
      </c>
    </row>
    <row r="84" spans="1:28" x14ac:dyDescent="0.25">
      <c r="A84" s="17">
        <v>5111501</v>
      </c>
      <c r="B84" s="17" t="s">
        <v>32</v>
      </c>
      <c r="C84">
        <v>17</v>
      </c>
      <c r="D84" s="10">
        <v>3.69</v>
      </c>
      <c r="E84" s="11"/>
      <c r="F84">
        <v>21140126</v>
      </c>
      <c r="G84" t="s">
        <v>81</v>
      </c>
      <c r="H84">
        <v>146</v>
      </c>
      <c r="I84">
        <v>1</v>
      </c>
      <c r="L84">
        <v>88888</v>
      </c>
      <c r="M84" s="2">
        <f t="shared" si="22"/>
        <v>83</v>
      </c>
      <c r="N84" s="3">
        <f t="shared" si="23"/>
        <v>43677</v>
      </c>
      <c r="O84" t="s">
        <v>203</v>
      </c>
      <c r="P84">
        <f t="shared" si="32"/>
        <v>1028</v>
      </c>
      <c r="Q84" s="6">
        <f t="shared" si="24"/>
        <v>18</v>
      </c>
      <c r="R84" s="5">
        <f t="shared" si="25"/>
        <v>1650453.59</v>
      </c>
      <c r="T84" s="5">
        <f t="shared" si="26"/>
        <v>0</v>
      </c>
      <c r="U84">
        <f t="shared" si="27"/>
        <v>0</v>
      </c>
      <c r="V84">
        <f t="shared" si="28"/>
        <v>40</v>
      </c>
      <c r="W84" t="str">
        <f t="shared" si="29"/>
        <v xml:space="preserve">SUELDOS                                 </v>
      </c>
      <c r="X84">
        <f t="shared" si="30"/>
        <v>7</v>
      </c>
      <c r="Y84" t="str">
        <f t="shared" si="31"/>
        <v xml:space="preserve"> </v>
      </c>
      <c r="AB84" t="str">
        <f t="shared" si="33"/>
        <v>SUELDOS</v>
      </c>
    </row>
    <row r="85" spans="1:28" x14ac:dyDescent="0.25">
      <c r="A85" s="17">
        <v>5110501</v>
      </c>
      <c r="B85" s="17" t="s">
        <v>25</v>
      </c>
      <c r="C85">
        <v>18</v>
      </c>
      <c r="D85" s="10">
        <v>1650453.59</v>
      </c>
      <c r="E85" s="11"/>
      <c r="F85">
        <v>21140127</v>
      </c>
      <c r="G85" t="s">
        <v>82</v>
      </c>
      <c r="H85">
        <v>147</v>
      </c>
      <c r="I85">
        <v>1</v>
      </c>
      <c r="L85">
        <v>88888</v>
      </c>
      <c r="M85" s="2">
        <f t="shared" si="22"/>
        <v>84</v>
      </c>
      <c r="N85" s="3">
        <f t="shared" si="23"/>
        <v>43677</v>
      </c>
      <c r="O85" t="s">
        <v>143</v>
      </c>
      <c r="P85">
        <f t="shared" si="32"/>
        <v>1029</v>
      </c>
      <c r="Q85" s="6">
        <f t="shared" si="24"/>
        <v>18</v>
      </c>
      <c r="R85" s="5">
        <f t="shared" si="25"/>
        <v>698061.56485380011</v>
      </c>
      <c r="T85" s="5">
        <f t="shared" si="26"/>
        <v>0</v>
      </c>
      <c r="U85">
        <f t="shared" si="27"/>
        <v>0</v>
      </c>
      <c r="V85">
        <f t="shared" si="28"/>
        <v>40</v>
      </c>
      <c r="W85" t="str">
        <f t="shared" si="29"/>
        <v xml:space="preserve">CARGAS SOCIALES                         </v>
      </c>
      <c r="X85">
        <f t="shared" si="30"/>
        <v>15</v>
      </c>
      <c r="Y85" t="str">
        <f t="shared" si="31"/>
        <v xml:space="preserve"> </v>
      </c>
      <c r="AB85" t="str">
        <f t="shared" si="33"/>
        <v>CARGAS SOCIALES</v>
      </c>
    </row>
    <row r="86" spans="1:28" x14ac:dyDescent="0.25">
      <c r="A86" s="9">
        <v>5110502</v>
      </c>
      <c r="B86" s="9" t="s">
        <v>27</v>
      </c>
      <c r="C86">
        <v>18</v>
      </c>
      <c r="D86" s="10">
        <v>698061.56485380011</v>
      </c>
      <c r="E86" s="11"/>
      <c r="F86">
        <v>21140128</v>
      </c>
      <c r="G86" t="s">
        <v>83</v>
      </c>
      <c r="H86">
        <v>148</v>
      </c>
      <c r="I86">
        <v>1</v>
      </c>
      <c r="L86">
        <v>88888</v>
      </c>
      <c r="M86" s="2">
        <f t="shared" si="22"/>
        <v>85</v>
      </c>
      <c r="N86" s="3">
        <f t="shared" si="23"/>
        <v>43677</v>
      </c>
      <c r="O86" t="s">
        <v>302</v>
      </c>
      <c r="P86">
        <f t="shared" si="32"/>
        <v>2032</v>
      </c>
      <c r="Q86" s="6">
        <f t="shared" si="24"/>
        <v>18</v>
      </c>
      <c r="R86" s="5">
        <f t="shared" si="25"/>
        <v>949604.74</v>
      </c>
      <c r="T86" s="5">
        <f t="shared" si="26"/>
        <v>0</v>
      </c>
      <c r="U86">
        <f t="shared" si="27"/>
        <v>0</v>
      </c>
      <c r="V86">
        <f t="shared" si="28"/>
        <v>40</v>
      </c>
      <c r="W86" t="str">
        <f t="shared" si="29"/>
        <v xml:space="preserve">SAC                                     </v>
      </c>
      <c r="X86">
        <f t="shared" si="30"/>
        <v>3</v>
      </c>
      <c r="Y86" t="str">
        <f t="shared" si="31"/>
        <v xml:space="preserve"> </v>
      </c>
      <c r="AB86" t="str">
        <f t="shared" si="33"/>
        <v>SAC</v>
      </c>
    </row>
    <row r="87" spans="1:28" x14ac:dyDescent="0.25">
      <c r="A87" s="9">
        <v>5110513</v>
      </c>
      <c r="B87" s="9" t="s">
        <v>274</v>
      </c>
      <c r="C87">
        <v>18</v>
      </c>
      <c r="D87" s="10">
        <v>949604.74</v>
      </c>
      <c r="E87" s="11"/>
      <c r="F87">
        <v>21140129</v>
      </c>
      <c r="G87" t="s">
        <v>84</v>
      </c>
      <c r="H87">
        <v>150</v>
      </c>
      <c r="I87">
        <v>1</v>
      </c>
      <c r="L87">
        <v>88888</v>
      </c>
      <c r="M87" s="2">
        <f t="shared" ref="M87:M150" si="34">+M86+1</f>
        <v>86</v>
      </c>
      <c r="N87" s="3">
        <f t="shared" ref="N87:N150" si="35">+A$1</f>
        <v>43677</v>
      </c>
      <c r="O87" t="s">
        <v>289</v>
      </c>
      <c r="P87">
        <f t="shared" si="32"/>
        <v>2033</v>
      </c>
      <c r="Q87" s="6">
        <f t="shared" ref="Q87:Q150" si="36">+C88</f>
        <v>18</v>
      </c>
      <c r="R87" s="5">
        <f t="shared" ref="R87:R150" si="37">+D88</f>
        <v>36265.599999999999</v>
      </c>
      <c r="T87" s="5">
        <f t="shared" ref="T87:T150" si="38">+E88</f>
        <v>0</v>
      </c>
      <c r="U87">
        <f t="shared" ref="U87:U150" si="39">LEN(S87)</f>
        <v>0</v>
      </c>
      <c r="V87">
        <f t="shared" ref="V87:V150" si="40">LEN(O87)</f>
        <v>40</v>
      </c>
      <c r="W87" t="str">
        <f t="shared" ref="W87:W150" si="41">AB87 &amp; REPT(" ",(40-X87))</f>
        <v xml:space="preserve">VACACIONES                              </v>
      </c>
      <c r="X87">
        <f t="shared" ref="X87:X150" si="42">LEN(AB87)</f>
        <v>10</v>
      </c>
      <c r="Y87" t="str">
        <f t="shared" ref="Y87:Y150" si="43">S87 &amp; REPT(" ",(1-U87))</f>
        <v xml:space="preserve"> </v>
      </c>
      <c r="AB87" t="str">
        <f t="shared" si="33"/>
        <v>VACACIONES</v>
      </c>
    </row>
    <row r="88" spans="1:28" x14ac:dyDescent="0.25">
      <c r="A88" s="9">
        <v>5110514</v>
      </c>
      <c r="B88" s="9" t="s">
        <v>275</v>
      </c>
      <c r="C88">
        <v>18</v>
      </c>
      <c r="D88" s="10">
        <v>36265.599999999999</v>
      </c>
      <c r="E88" s="11"/>
      <c r="F88">
        <v>21140130</v>
      </c>
      <c r="G88" t="s">
        <v>85</v>
      </c>
      <c r="H88">
        <v>149</v>
      </c>
      <c r="I88">
        <v>1</v>
      </c>
      <c r="L88">
        <v>88888</v>
      </c>
      <c r="M88" s="2">
        <f t="shared" si="34"/>
        <v>87</v>
      </c>
      <c r="N88" s="3">
        <f t="shared" si="35"/>
        <v>43677</v>
      </c>
      <c r="O88" t="s">
        <v>288</v>
      </c>
      <c r="P88">
        <f t="shared" si="32"/>
        <v>2035</v>
      </c>
      <c r="Q88" s="6">
        <f t="shared" si="36"/>
        <v>18</v>
      </c>
      <c r="R88" s="5">
        <f t="shared" si="37"/>
        <v>200552.09</v>
      </c>
      <c r="T88" s="5">
        <f t="shared" si="38"/>
        <v>0</v>
      </c>
      <c r="U88">
        <f t="shared" si="39"/>
        <v>0</v>
      </c>
      <c r="V88">
        <f t="shared" si="40"/>
        <v>40</v>
      </c>
      <c r="W88" t="str">
        <f t="shared" si="41"/>
        <v xml:space="preserve">HORAS EXTRAS                            </v>
      </c>
      <c r="X88">
        <f t="shared" si="42"/>
        <v>12</v>
      </c>
      <c r="Y88" t="str">
        <f t="shared" si="43"/>
        <v xml:space="preserve"> </v>
      </c>
      <c r="AB88" t="str">
        <f t="shared" si="33"/>
        <v>HORAS EXTRAS</v>
      </c>
    </row>
    <row r="89" spans="1:28" x14ac:dyDescent="0.25">
      <c r="A89" s="9">
        <v>5110516</v>
      </c>
      <c r="B89" s="9" t="s">
        <v>277</v>
      </c>
      <c r="C89">
        <v>18</v>
      </c>
      <c r="D89" s="10">
        <v>200552.09</v>
      </c>
      <c r="E89" s="11"/>
      <c r="F89">
        <v>21140131</v>
      </c>
      <c r="G89" t="s">
        <v>86</v>
      </c>
      <c r="H89">
        <v>152</v>
      </c>
      <c r="I89">
        <v>1</v>
      </c>
      <c r="L89">
        <v>88888</v>
      </c>
      <c r="M89" s="2">
        <f t="shared" si="34"/>
        <v>88</v>
      </c>
      <c r="N89" s="3">
        <f t="shared" si="35"/>
        <v>43677</v>
      </c>
      <c r="O89" t="s">
        <v>204</v>
      </c>
      <c r="P89">
        <f t="shared" si="32"/>
        <v>1081</v>
      </c>
      <c r="Q89" s="6">
        <f t="shared" si="36"/>
        <v>18</v>
      </c>
      <c r="R89" s="5">
        <f t="shared" si="37"/>
        <v>13.06</v>
      </c>
      <c r="T89" s="5">
        <f t="shared" si="38"/>
        <v>0</v>
      </c>
      <c r="U89">
        <f t="shared" si="39"/>
        <v>0</v>
      </c>
      <c r="V89">
        <f t="shared" si="40"/>
        <v>40</v>
      </c>
      <c r="W89" t="str">
        <f t="shared" si="41"/>
        <v xml:space="preserve">OTROS GASTOS EN PERSONAL                </v>
      </c>
      <c r="X89">
        <f t="shared" si="42"/>
        <v>24</v>
      </c>
      <c r="Y89" t="str">
        <f t="shared" si="43"/>
        <v xml:space="preserve"> </v>
      </c>
      <c r="AB89" t="str">
        <f t="shared" si="33"/>
        <v>OTROS GASTOS EN PERSONAL</v>
      </c>
    </row>
    <row r="90" spans="1:28" x14ac:dyDescent="0.25">
      <c r="A90" s="9">
        <v>5111501</v>
      </c>
      <c r="B90" s="9" t="s">
        <v>32</v>
      </c>
      <c r="C90">
        <v>18</v>
      </c>
      <c r="D90" s="10">
        <v>13.06</v>
      </c>
      <c r="E90" s="11"/>
      <c r="F90">
        <v>21140132</v>
      </c>
      <c r="G90" t="s">
        <v>87</v>
      </c>
      <c r="H90">
        <v>153</v>
      </c>
      <c r="I90">
        <v>1</v>
      </c>
      <c r="L90">
        <v>88888</v>
      </c>
      <c r="M90" s="2">
        <f t="shared" si="34"/>
        <v>89</v>
      </c>
      <c r="N90" s="3">
        <f t="shared" si="35"/>
        <v>43677</v>
      </c>
      <c r="O90" t="s">
        <v>203</v>
      </c>
      <c r="P90">
        <f t="shared" si="32"/>
        <v>1028</v>
      </c>
      <c r="Q90" s="6">
        <f t="shared" si="36"/>
        <v>19</v>
      </c>
      <c r="R90" s="5">
        <f t="shared" si="37"/>
        <v>113843.1</v>
      </c>
      <c r="T90" s="5">
        <f t="shared" si="38"/>
        <v>0</v>
      </c>
      <c r="U90">
        <f t="shared" si="39"/>
        <v>0</v>
      </c>
      <c r="V90">
        <f t="shared" si="40"/>
        <v>40</v>
      </c>
      <c r="W90" t="str">
        <f t="shared" si="41"/>
        <v xml:space="preserve">SUELDOS                                 </v>
      </c>
      <c r="X90">
        <f t="shared" si="42"/>
        <v>7</v>
      </c>
      <c r="Y90" t="str">
        <f t="shared" si="43"/>
        <v xml:space="preserve"> </v>
      </c>
      <c r="AB90" t="str">
        <f t="shared" si="33"/>
        <v>SUELDOS</v>
      </c>
    </row>
    <row r="91" spans="1:28" x14ac:dyDescent="0.25">
      <c r="A91" s="9">
        <v>5110501</v>
      </c>
      <c r="B91" s="9" t="s">
        <v>25</v>
      </c>
      <c r="C91">
        <v>19</v>
      </c>
      <c r="D91" s="10">
        <v>113843.1</v>
      </c>
      <c r="E91" s="11"/>
      <c r="F91">
        <v>21140133</v>
      </c>
      <c r="G91" t="s">
        <v>88</v>
      </c>
      <c r="H91">
        <v>154</v>
      </c>
      <c r="I91">
        <v>1</v>
      </c>
      <c r="L91">
        <v>88888</v>
      </c>
      <c r="M91" s="2">
        <f t="shared" si="34"/>
        <v>90</v>
      </c>
      <c r="N91" s="3">
        <f t="shared" si="35"/>
        <v>43677</v>
      </c>
      <c r="O91" t="s">
        <v>143</v>
      </c>
      <c r="P91">
        <f t="shared" si="32"/>
        <v>1029</v>
      </c>
      <c r="Q91" s="6">
        <f t="shared" si="36"/>
        <v>19</v>
      </c>
      <c r="R91" s="5">
        <f t="shared" si="37"/>
        <v>44303.154939200002</v>
      </c>
      <c r="T91" s="5">
        <f t="shared" si="38"/>
        <v>0</v>
      </c>
      <c r="U91">
        <f t="shared" si="39"/>
        <v>0</v>
      </c>
      <c r="V91">
        <f t="shared" si="40"/>
        <v>40</v>
      </c>
      <c r="W91" t="str">
        <f t="shared" si="41"/>
        <v xml:space="preserve">CARGAS SOCIALES                         </v>
      </c>
      <c r="X91">
        <f t="shared" si="42"/>
        <v>15</v>
      </c>
      <c r="Y91" t="str">
        <f t="shared" si="43"/>
        <v xml:space="preserve"> </v>
      </c>
      <c r="AB91" t="str">
        <f t="shared" si="33"/>
        <v>CARGAS SOCIALES</v>
      </c>
    </row>
    <row r="92" spans="1:28" x14ac:dyDescent="0.25">
      <c r="A92" s="9">
        <v>5110502</v>
      </c>
      <c r="B92" s="9" t="s">
        <v>27</v>
      </c>
      <c r="C92">
        <v>19</v>
      </c>
      <c r="D92" s="10">
        <v>44303.154939200002</v>
      </c>
      <c r="E92" s="11"/>
      <c r="F92">
        <v>21140134</v>
      </c>
      <c r="G92" t="s">
        <v>89</v>
      </c>
      <c r="H92">
        <v>155</v>
      </c>
      <c r="I92">
        <v>1</v>
      </c>
      <c r="L92">
        <v>88888</v>
      </c>
      <c r="M92" s="2">
        <f t="shared" si="34"/>
        <v>91</v>
      </c>
      <c r="N92" s="3">
        <f t="shared" si="35"/>
        <v>43677</v>
      </c>
      <c r="O92" t="s">
        <v>302</v>
      </c>
      <c r="P92">
        <f t="shared" si="32"/>
        <v>2032</v>
      </c>
      <c r="Q92" s="6">
        <f t="shared" si="36"/>
        <v>19</v>
      </c>
      <c r="R92" s="5">
        <f t="shared" si="37"/>
        <v>59356.72</v>
      </c>
      <c r="T92" s="5">
        <f t="shared" si="38"/>
        <v>0</v>
      </c>
      <c r="U92">
        <f t="shared" si="39"/>
        <v>0</v>
      </c>
      <c r="V92">
        <f t="shared" si="40"/>
        <v>40</v>
      </c>
      <c r="W92" t="str">
        <f t="shared" si="41"/>
        <v xml:space="preserve">SAC                                     </v>
      </c>
      <c r="X92">
        <f t="shared" si="42"/>
        <v>3</v>
      </c>
      <c r="Y92" t="str">
        <f t="shared" si="43"/>
        <v xml:space="preserve"> </v>
      </c>
      <c r="AB92" t="str">
        <f t="shared" si="33"/>
        <v>SAC</v>
      </c>
    </row>
    <row r="93" spans="1:28" x14ac:dyDescent="0.25">
      <c r="A93" s="9">
        <v>5110513</v>
      </c>
      <c r="B93" s="9" t="s">
        <v>274</v>
      </c>
      <c r="C93">
        <v>19</v>
      </c>
      <c r="D93" s="10">
        <v>59356.72</v>
      </c>
      <c r="E93" s="11"/>
      <c r="F93">
        <v>21140135</v>
      </c>
      <c r="G93" t="s">
        <v>90</v>
      </c>
      <c r="H93">
        <v>156</v>
      </c>
      <c r="I93">
        <v>1</v>
      </c>
      <c r="L93">
        <v>88888</v>
      </c>
      <c r="M93" s="2">
        <f t="shared" si="34"/>
        <v>92</v>
      </c>
      <c r="N93" s="3">
        <f t="shared" si="35"/>
        <v>43677</v>
      </c>
      <c r="O93" t="s">
        <v>288</v>
      </c>
      <c r="P93">
        <f t="shared" si="32"/>
        <v>2035</v>
      </c>
      <c r="Q93" s="6">
        <f t="shared" si="36"/>
        <v>19</v>
      </c>
      <c r="R93" s="5">
        <f t="shared" si="37"/>
        <v>2029.22</v>
      </c>
      <c r="T93" s="5">
        <f t="shared" si="38"/>
        <v>0</v>
      </c>
      <c r="U93">
        <f t="shared" si="39"/>
        <v>0</v>
      </c>
      <c r="V93">
        <f t="shared" si="40"/>
        <v>40</v>
      </c>
      <c r="W93" t="str">
        <f t="shared" si="41"/>
        <v xml:space="preserve">HORAS EXTRAS                            </v>
      </c>
      <c r="X93">
        <f t="shared" si="42"/>
        <v>12</v>
      </c>
      <c r="Y93" t="str">
        <f t="shared" si="43"/>
        <v xml:space="preserve"> </v>
      </c>
      <c r="AB93" t="str">
        <f t="shared" si="33"/>
        <v>HORAS EXTRAS</v>
      </c>
    </row>
    <row r="94" spans="1:28" x14ac:dyDescent="0.25">
      <c r="A94" s="9">
        <v>5110516</v>
      </c>
      <c r="B94" s="9" t="s">
        <v>277</v>
      </c>
      <c r="C94">
        <v>19</v>
      </c>
      <c r="D94" s="10">
        <v>2029.22</v>
      </c>
      <c r="E94" s="11"/>
      <c r="F94">
        <v>21140136</v>
      </c>
      <c r="G94" t="s">
        <v>91</v>
      </c>
      <c r="H94">
        <v>157</v>
      </c>
      <c r="I94">
        <v>1</v>
      </c>
      <c r="L94">
        <v>88888</v>
      </c>
      <c r="M94" s="2">
        <f t="shared" si="34"/>
        <v>93</v>
      </c>
      <c r="N94" s="3">
        <f t="shared" si="35"/>
        <v>43677</v>
      </c>
      <c r="O94" t="s">
        <v>204</v>
      </c>
      <c r="P94">
        <f t="shared" si="32"/>
        <v>1081</v>
      </c>
      <c r="Q94" s="6">
        <f t="shared" si="36"/>
        <v>19</v>
      </c>
      <c r="R94" s="5">
        <f t="shared" si="37"/>
        <v>0.45</v>
      </c>
      <c r="T94" s="5">
        <f t="shared" si="38"/>
        <v>0</v>
      </c>
      <c r="U94">
        <f t="shared" si="39"/>
        <v>0</v>
      </c>
      <c r="V94">
        <f t="shared" si="40"/>
        <v>40</v>
      </c>
      <c r="W94" t="str">
        <f t="shared" si="41"/>
        <v xml:space="preserve">OTROS GASTOS EN PERSONAL                </v>
      </c>
      <c r="X94">
        <f t="shared" si="42"/>
        <v>24</v>
      </c>
      <c r="Y94" t="str">
        <f t="shared" si="43"/>
        <v xml:space="preserve"> </v>
      </c>
      <c r="AB94" t="str">
        <f t="shared" si="33"/>
        <v>OTROS GASTOS EN PERSONAL</v>
      </c>
    </row>
    <row r="95" spans="1:28" x14ac:dyDescent="0.25">
      <c r="A95" s="9">
        <v>5111501</v>
      </c>
      <c r="B95" s="9" t="s">
        <v>32</v>
      </c>
      <c r="C95">
        <v>19</v>
      </c>
      <c r="D95" s="10">
        <v>0.45</v>
      </c>
      <c r="E95" s="11"/>
      <c r="F95">
        <v>21140137</v>
      </c>
      <c r="G95" t="s">
        <v>92</v>
      </c>
      <c r="H95">
        <v>158</v>
      </c>
      <c r="I95">
        <v>1</v>
      </c>
      <c r="L95">
        <v>88888</v>
      </c>
      <c r="M95" s="2">
        <f t="shared" si="34"/>
        <v>94</v>
      </c>
      <c r="N95" s="3">
        <f t="shared" si="35"/>
        <v>43677</v>
      </c>
      <c r="O95" t="s">
        <v>203</v>
      </c>
      <c r="P95">
        <f t="shared" si="32"/>
        <v>1028</v>
      </c>
      <c r="Q95" s="6">
        <f t="shared" si="36"/>
        <v>20</v>
      </c>
      <c r="R95" s="5">
        <f t="shared" si="37"/>
        <v>542281.19999999995</v>
      </c>
      <c r="T95" s="5">
        <f t="shared" si="38"/>
        <v>0</v>
      </c>
      <c r="U95">
        <f t="shared" si="39"/>
        <v>0</v>
      </c>
      <c r="V95">
        <f t="shared" si="40"/>
        <v>40</v>
      </c>
      <c r="W95" t="str">
        <f t="shared" si="41"/>
        <v xml:space="preserve">SUELDOS                                 </v>
      </c>
      <c r="X95">
        <f t="shared" si="42"/>
        <v>7</v>
      </c>
      <c r="Y95" t="str">
        <f t="shared" si="43"/>
        <v xml:space="preserve"> </v>
      </c>
      <c r="AB95" t="str">
        <f t="shared" si="33"/>
        <v>SUELDOS</v>
      </c>
    </row>
    <row r="96" spans="1:28" x14ac:dyDescent="0.25">
      <c r="A96" s="9">
        <v>5110501</v>
      </c>
      <c r="B96" s="9" t="s">
        <v>25</v>
      </c>
      <c r="C96">
        <v>20</v>
      </c>
      <c r="D96" s="10">
        <v>542281.19999999995</v>
      </c>
      <c r="E96" s="11"/>
      <c r="F96">
        <v>21140138</v>
      </c>
      <c r="G96" t="s">
        <v>93</v>
      </c>
      <c r="H96">
        <v>159</v>
      </c>
      <c r="I96">
        <v>1</v>
      </c>
      <c r="L96">
        <v>88888</v>
      </c>
      <c r="M96" s="2">
        <f t="shared" si="34"/>
        <v>95</v>
      </c>
      <c r="N96" s="3">
        <f t="shared" si="35"/>
        <v>43677</v>
      </c>
      <c r="O96" t="s">
        <v>143</v>
      </c>
      <c r="P96">
        <f t="shared" si="32"/>
        <v>1029</v>
      </c>
      <c r="Q96" s="6">
        <f t="shared" si="36"/>
        <v>20</v>
      </c>
      <c r="R96" s="5">
        <f t="shared" si="37"/>
        <v>235818.49462660003</v>
      </c>
      <c r="T96" s="5">
        <f t="shared" si="38"/>
        <v>0</v>
      </c>
      <c r="U96">
        <f t="shared" si="39"/>
        <v>0</v>
      </c>
      <c r="V96">
        <f t="shared" si="40"/>
        <v>40</v>
      </c>
      <c r="W96" t="str">
        <f t="shared" si="41"/>
        <v xml:space="preserve">CARGAS SOCIALES                         </v>
      </c>
      <c r="X96">
        <f t="shared" si="42"/>
        <v>15</v>
      </c>
      <c r="Y96" t="str">
        <f t="shared" si="43"/>
        <v xml:space="preserve"> </v>
      </c>
      <c r="AB96" t="str">
        <f t="shared" si="33"/>
        <v>CARGAS SOCIALES</v>
      </c>
    </row>
    <row r="97" spans="1:28" x14ac:dyDescent="0.25">
      <c r="A97" s="9">
        <v>5110502</v>
      </c>
      <c r="B97" s="9" t="s">
        <v>27</v>
      </c>
      <c r="C97">
        <v>20</v>
      </c>
      <c r="D97" s="10">
        <v>235818.49462660003</v>
      </c>
      <c r="E97" s="11"/>
      <c r="F97">
        <v>21140139</v>
      </c>
      <c r="G97" t="s">
        <v>94</v>
      </c>
      <c r="H97">
        <v>160</v>
      </c>
      <c r="I97">
        <v>1</v>
      </c>
      <c r="L97">
        <v>88888</v>
      </c>
      <c r="M97" s="2">
        <f t="shared" si="34"/>
        <v>96</v>
      </c>
      <c r="N97" s="3">
        <f t="shared" si="35"/>
        <v>43677</v>
      </c>
      <c r="O97" t="s">
        <v>302</v>
      </c>
      <c r="P97">
        <f t="shared" si="32"/>
        <v>2032</v>
      </c>
      <c r="Q97" s="6">
        <f t="shared" si="36"/>
        <v>20</v>
      </c>
      <c r="R97" s="5">
        <f t="shared" si="37"/>
        <v>329535.07</v>
      </c>
      <c r="T97" s="5">
        <f t="shared" si="38"/>
        <v>0</v>
      </c>
      <c r="U97">
        <f t="shared" si="39"/>
        <v>0</v>
      </c>
      <c r="V97">
        <f t="shared" si="40"/>
        <v>40</v>
      </c>
      <c r="W97" t="str">
        <f t="shared" si="41"/>
        <v xml:space="preserve">SAC                                     </v>
      </c>
      <c r="X97">
        <f t="shared" si="42"/>
        <v>3</v>
      </c>
      <c r="Y97" t="str">
        <f t="shared" si="43"/>
        <v xml:space="preserve"> </v>
      </c>
      <c r="AB97" t="str">
        <f t="shared" si="33"/>
        <v>SAC</v>
      </c>
    </row>
    <row r="98" spans="1:28" x14ac:dyDescent="0.25">
      <c r="A98" s="9">
        <v>5110513</v>
      </c>
      <c r="B98" s="9" t="s">
        <v>274</v>
      </c>
      <c r="C98">
        <v>20</v>
      </c>
      <c r="D98" s="10">
        <v>329535.07</v>
      </c>
      <c r="E98" s="11"/>
      <c r="F98">
        <v>21140140</v>
      </c>
      <c r="G98" t="s">
        <v>95</v>
      </c>
      <c r="H98">
        <v>161</v>
      </c>
      <c r="I98">
        <v>1</v>
      </c>
      <c r="L98">
        <v>88888</v>
      </c>
      <c r="M98" s="2">
        <f t="shared" si="34"/>
        <v>97</v>
      </c>
      <c r="N98" s="3">
        <f t="shared" si="35"/>
        <v>43677</v>
      </c>
      <c r="O98" t="s">
        <v>288</v>
      </c>
      <c r="P98">
        <f t="shared" si="32"/>
        <v>2035</v>
      </c>
      <c r="Q98" s="6">
        <f t="shared" si="36"/>
        <v>20</v>
      </c>
      <c r="R98" s="5">
        <f t="shared" si="37"/>
        <v>77353.31</v>
      </c>
      <c r="T98" s="5">
        <f t="shared" si="38"/>
        <v>0</v>
      </c>
      <c r="U98">
        <f t="shared" si="39"/>
        <v>0</v>
      </c>
      <c r="V98">
        <f t="shared" si="40"/>
        <v>40</v>
      </c>
      <c r="W98" t="str">
        <f t="shared" si="41"/>
        <v xml:space="preserve">HORAS EXTRAS                            </v>
      </c>
      <c r="X98">
        <f t="shared" si="42"/>
        <v>12</v>
      </c>
      <c r="Y98" t="str">
        <f t="shared" si="43"/>
        <v xml:space="preserve"> </v>
      </c>
      <c r="AB98" t="str">
        <f t="shared" si="33"/>
        <v>HORAS EXTRAS</v>
      </c>
    </row>
    <row r="99" spans="1:28" x14ac:dyDescent="0.25">
      <c r="A99" s="9">
        <v>5110516</v>
      </c>
      <c r="B99" s="9" t="s">
        <v>277</v>
      </c>
      <c r="C99">
        <v>20</v>
      </c>
      <c r="D99" s="10">
        <v>77353.31</v>
      </c>
      <c r="E99" s="11"/>
      <c r="F99">
        <v>21140141</v>
      </c>
      <c r="G99" t="s">
        <v>96</v>
      </c>
      <c r="H99">
        <v>162</v>
      </c>
      <c r="I99">
        <v>1</v>
      </c>
      <c r="L99">
        <v>88888</v>
      </c>
      <c r="M99" s="2">
        <f t="shared" si="34"/>
        <v>98</v>
      </c>
      <c r="N99" s="3">
        <f t="shared" si="35"/>
        <v>43677</v>
      </c>
      <c r="O99" t="s">
        <v>204</v>
      </c>
      <c r="P99">
        <f t="shared" si="32"/>
        <v>1081</v>
      </c>
      <c r="Q99" s="6">
        <f t="shared" si="36"/>
        <v>20</v>
      </c>
      <c r="R99" s="5">
        <f t="shared" si="37"/>
        <v>4.07</v>
      </c>
      <c r="T99" s="5">
        <f t="shared" si="38"/>
        <v>0</v>
      </c>
      <c r="U99">
        <f t="shared" si="39"/>
        <v>0</v>
      </c>
      <c r="V99">
        <f t="shared" si="40"/>
        <v>40</v>
      </c>
      <c r="W99" t="str">
        <f t="shared" si="41"/>
        <v xml:space="preserve">OTROS GASTOS EN PERSONAL                </v>
      </c>
      <c r="X99">
        <f t="shared" si="42"/>
        <v>24</v>
      </c>
      <c r="Y99" t="str">
        <f t="shared" si="43"/>
        <v xml:space="preserve"> </v>
      </c>
      <c r="AB99" t="str">
        <f t="shared" si="33"/>
        <v>OTROS GASTOS EN PERSONAL</v>
      </c>
    </row>
    <row r="100" spans="1:28" x14ac:dyDescent="0.25">
      <c r="A100" s="9">
        <v>5111501</v>
      </c>
      <c r="B100" s="9" t="s">
        <v>32</v>
      </c>
      <c r="C100">
        <v>20</v>
      </c>
      <c r="D100" s="10">
        <v>4.07</v>
      </c>
      <c r="E100" s="11"/>
      <c r="F100">
        <v>21140142</v>
      </c>
      <c r="G100" t="s">
        <v>97</v>
      </c>
      <c r="H100">
        <v>163</v>
      </c>
      <c r="I100">
        <v>1</v>
      </c>
      <c r="L100">
        <v>88888</v>
      </c>
      <c r="M100" s="2">
        <f t="shared" si="34"/>
        <v>99</v>
      </c>
      <c r="N100" s="3">
        <f t="shared" si="35"/>
        <v>43677</v>
      </c>
      <c r="O100" t="s">
        <v>203</v>
      </c>
      <c r="P100">
        <f t="shared" si="32"/>
        <v>1028</v>
      </c>
      <c r="Q100" s="6">
        <f t="shared" si="36"/>
        <v>21</v>
      </c>
      <c r="R100" s="5">
        <f t="shared" si="37"/>
        <v>872757.76000000001</v>
      </c>
      <c r="T100" s="5">
        <f t="shared" si="38"/>
        <v>0</v>
      </c>
      <c r="U100">
        <f t="shared" si="39"/>
        <v>0</v>
      </c>
      <c r="V100">
        <f t="shared" si="40"/>
        <v>40</v>
      </c>
      <c r="W100" t="str">
        <f t="shared" si="41"/>
        <v xml:space="preserve">SUELDOS                                 </v>
      </c>
      <c r="X100">
        <f t="shared" si="42"/>
        <v>7</v>
      </c>
      <c r="Y100" t="str">
        <f t="shared" si="43"/>
        <v xml:space="preserve"> </v>
      </c>
      <c r="AB100" t="str">
        <f t="shared" si="33"/>
        <v>SUELDOS</v>
      </c>
    </row>
    <row r="101" spans="1:28" x14ac:dyDescent="0.25">
      <c r="A101" s="9">
        <v>5110501</v>
      </c>
      <c r="B101" s="9" t="s">
        <v>25</v>
      </c>
      <c r="C101">
        <v>21</v>
      </c>
      <c r="D101" s="10">
        <v>872757.76000000001</v>
      </c>
      <c r="E101" s="11"/>
      <c r="F101">
        <v>21140143</v>
      </c>
      <c r="G101" t="s">
        <v>98</v>
      </c>
      <c r="H101">
        <v>164</v>
      </c>
      <c r="I101">
        <v>1</v>
      </c>
      <c r="L101">
        <v>88888</v>
      </c>
      <c r="M101" s="2">
        <f t="shared" si="34"/>
        <v>100</v>
      </c>
      <c r="N101" s="3">
        <f t="shared" si="35"/>
        <v>43677</v>
      </c>
      <c r="O101" t="s">
        <v>143</v>
      </c>
      <c r="P101">
        <f t="shared" si="32"/>
        <v>1029</v>
      </c>
      <c r="Q101" s="6">
        <f t="shared" si="36"/>
        <v>21</v>
      </c>
      <c r="R101" s="5">
        <f t="shared" si="37"/>
        <v>363486.95094939996</v>
      </c>
      <c r="T101" s="5">
        <f t="shared" si="38"/>
        <v>0</v>
      </c>
      <c r="U101">
        <f t="shared" si="39"/>
        <v>0</v>
      </c>
      <c r="V101">
        <f t="shared" si="40"/>
        <v>40</v>
      </c>
      <c r="W101" t="str">
        <f t="shared" si="41"/>
        <v xml:space="preserve">CARGAS SOCIALES                         </v>
      </c>
      <c r="X101">
        <f t="shared" si="42"/>
        <v>15</v>
      </c>
      <c r="Y101" t="str">
        <f t="shared" si="43"/>
        <v xml:space="preserve"> </v>
      </c>
      <c r="AB101" t="str">
        <f t="shared" si="33"/>
        <v>CARGAS SOCIALES</v>
      </c>
    </row>
    <row r="102" spans="1:28" x14ac:dyDescent="0.25">
      <c r="A102" s="9">
        <v>5110502</v>
      </c>
      <c r="B102" s="9" t="s">
        <v>27</v>
      </c>
      <c r="C102">
        <v>21</v>
      </c>
      <c r="D102" s="10">
        <v>363486.95094939996</v>
      </c>
      <c r="E102" s="11"/>
      <c r="F102">
        <v>21140144</v>
      </c>
      <c r="G102" t="s">
        <v>99</v>
      </c>
      <c r="H102">
        <v>165</v>
      </c>
      <c r="I102">
        <v>1</v>
      </c>
      <c r="L102">
        <v>88888</v>
      </c>
      <c r="M102" s="2">
        <f t="shared" si="34"/>
        <v>101</v>
      </c>
      <c r="N102" s="3">
        <f t="shared" si="35"/>
        <v>43677</v>
      </c>
      <c r="O102" t="s">
        <v>302</v>
      </c>
      <c r="P102">
        <f t="shared" si="32"/>
        <v>2032</v>
      </c>
      <c r="Q102" s="6">
        <f t="shared" si="36"/>
        <v>21</v>
      </c>
      <c r="R102" s="5">
        <f t="shared" si="37"/>
        <v>528954.12</v>
      </c>
      <c r="T102" s="5">
        <f t="shared" si="38"/>
        <v>0</v>
      </c>
      <c r="U102">
        <f t="shared" si="39"/>
        <v>0</v>
      </c>
      <c r="V102">
        <f t="shared" si="40"/>
        <v>40</v>
      </c>
      <c r="W102" t="str">
        <f t="shared" si="41"/>
        <v xml:space="preserve">SAC                                     </v>
      </c>
      <c r="X102">
        <f t="shared" si="42"/>
        <v>3</v>
      </c>
      <c r="Y102" t="str">
        <f t="shared" si="43"/>
        <v xml:space="preserve"> </v>
      </c>
      <c r="AB102" t="str">
        <f t="shared" si="33"/>
        <v>SAC</v>
      </c>
    </row>
    <row r="103" spans="1:28" x14ac:dyDescent="0.25">
      <c r="A103" s="9">
        <v>5110513</v>
      </c>
      <c r="B103" s="9" t="s">
        <v>274</v>
      </c>
      <c r="C103">
        <v>21</v>
      </c>
      <c r="D103" s="10">
        <v>528954.12</v>
      </c>
      <c r="E103" s="11"/>
      <c r="F103">
        <v>21140145</v>
      </c>
      <c r="G103" t="s">
        <v>100</v>
      </c>
      <c r="H103">
        <v>166</v>
      </c>
      <c r="I103">
        <v>1</v>
      </c>
      <c r="L103">
        <v>88888</v>
      </c>
      <c r="M103" s="2">
        <f t="shared" si="34"/>
        <v>102</v>
      </c>
      <c r="N103" s="3">
        <f t="shared" si="35"/>
        <v>43677</v>
      </c>
      <c r="O103" t="s">
        <v>288</v>
      </c>
      <c r="P103">
        <f t="shared" si="32"/>
        <v>2035</v>
      </c>
      <c r="Q103" s="6">
        <f t="shared" si="36"/>
        <v>21</v>
      </c>
      <c r="R103" s="5">
        <f t="shared" si="37"/>
        <v>85977.77</v>
      </c>
      <c r="T103" s="5">
        <f t="shared" si="38"/>
        <v>0</v>
      </c>
      <c r="U103">
        <f t="shared" si="39"/>
        <v>0</v>
      </c>
      <c r="V103">
        <f t="shared" si="40"/>
        <v>40</v>
      </c>
      <c r="W103" t="str">
        <f t="shared" si="41"/>
        <v xml:space="preserve">HORAS EXTRAS                            </v>
      </c>
      <c r="X103">
        <f t="shared" si="42"/>
        <v>12</v>
      </c>
      <c r="Y103" t="str">
        <f t="shared" si="43"/>
        <v xml:space="preserve"> </v>
      </c>
      <c r="AB103" t="str">
        <f t="shared" si="33"/>
        <v>HORAS EXTRAS</v>
      </c>
    </row>
    <row r="104" spans="1:28" x14ac:dyDescent="0.25">
      <c r="A104" s="9">
        <v>5110516</v>
      </c>
      <c r="B104" s="9" t="s">
        <v>277</v>
      </c>
      <c r="C104">
        <v>21</v>
      </c>
      <c r="D104" s="10">
        <v>85977.77</v>
      </c>
      <c r="E104" s="11"/>
      <c r="F104">
        <v>21140146</v>
      </c>
      <c r="G104" t="s">
        <v>101</v>
      </c>
      <c r="H104">
        <v>167</v>
      </c>
      <c r="I104">
        <v>1</v>
      </c>
      <c r="L104">
        <v>88888</v>
      </c>
      <c r="M104" s="2">
        <f t="shared" si="34"/>
        <v>103</v>
      </c>
      <c r="N104" s="3">
        <f t="shared" si="35"/>
        <v>43677</v>
      </c>
      <c r="O104" t="s">
        <v>204</v>
      </c>
      <c r="P104">
        <f t="shared" si="32"/>
        <v>1081</v>
      </c>
      <c r="Q104" s="6">
        <f t="shared" si="36"/>
        <v>21</v>
      </c>
      <c r="R104" s="5">
        <f t="shared" si="37"/>
        <v>9.49</v>
      </c>
      <c r="T104" s="5">
        <f t="shared" si="38"/>
        <v>0</v>
      </c>
      <c r="U104">
        <f t="shared" si="39"/>
        <v>0</v>
      </c>
      <c r="V104">
        <f t="shared" si="40"/>
        <v>40</v>
      </c>
      <c r="W104" t="str">
        <f t="shared" si="41"/>
        <v xml:space="preserve">OTROS GASTOS EN PERSONAL                </v>
      </c>
      <c r="X104">
        <f t="shared" si="42"/>
        <v>24</v>
      </c>
      <c r="Y104" t="str">
        <f t="shared" si="43"/>
        <v xml:space="preserve"> </v>
      </c>
      <c r="AB104" t="str">
        <f t="shared" si="33"/>
        <v>OTROS GASTOS EN PERSONAL</v>
      </c>
    </row>
    <row r="105" spans="1:28" x14ac:dyDescent="0.25">
      <c r="A105" s="9">
        <v>5111501</v>
      </c>
      <c r="B105" s="9" t="s">
        <v>32</v>
      </c>
      <c r="C105">
        <v>21</v>
      </c>
      <c r="D105" s="10">
        <v>9.49</v>
      </c>
      <c r="E105" s="11"/>
      <c r="F105">
        <v>21140147</v>
      </c>
      <c r="G105" t="s">
        <v>102</v>
      </c>
      <c r="H105">
        <v>168</v>
      </c>
      <c r="I105">
        <v>1</v>
      </c>
      <c r="L105">
        <v>88888</v>
      </c>
      <c r="M105" s="2">
        <f t="shared" si="34"/>
        <v>104</v>
      </c>
      <c r="N105" s="3">
        <f t="shared" si="35"/>
        <v>43677</v>
      </c>
      <c r="O105" t="s">
        <v>203</v>
      </c>
      <c r="P105">
        <f t="shared" si="32"/>
        <v>1028</v>
      </c>
      <c r="Q105" s="6">
        <f t="shared" si="36"/>
        <v>22</v>
      </c>
      <c r="R105" s="5">
        <f t="shared" si="37"/>
        <v>1343761.59</v>
      </c>
      <c r="T105" s="5">
        <f t="shared" si="38"/>
        <v>0</v>
      </c>
      <c r="U105">
        <f t="shared" si="39"/>
        <v>0</v>
      </c>
      <c r="V105">
        <f t="shared" si="40"/>
        <v>40</v>
      </c>
      <c r="W105" t="str">
        <f t="shared" si="41"/>
        <v xml:space="preserve">SUELDOS                                 </v>
      </c>
      <c r="X105">
        <f t="shared" si="42"/>
        <v>7</v>
      </c>
      <c r="Y105" t="str">
        <f t="shared" si="43"/>
        <v xml:space="preserve"> </v>
      </c>
      <c r="AB105" t="str">
        <f t="shared" si="33"/>
        <v>SUELDOS</v>
      </c>
    </row>
    <row r="106" spans="1:28" x14ac:dyDescent="0.25">
      <c r="A106" s="9">
        <v>5110501</v>
      </c>
      <c r="B106" s="9" t="s">
        <v>25</v>
      </c>
      <c r="C106">
        <v>22</v>
      </c>
      <c r="D106" s="10">
        <v>1343761.59</v>
      </c>
      <c r="E106" s="11"/>
      <c r="F106">
        <v>21140148</v>
      </c>
      <c r="G106" t="s">
        <v>103</v>
      </c>
      <c r="H106">
        <v>169</v>
      </c>
      <c r="I106">
        <v>1</v>
      </c>
      <c r="L106">
        <v>88888</v>
      </c>
      <c r="M106" s="2">
        <f t="shared" si="34"/>
        <v>105</v>
      </c>
      <c r="N106" s="3">
        <f t="shared" si="35"/>
        <v>43677</v>
      </c>
      <c r="O106" t="s">
        <v>143</v>
      </c>
      <c r="P106">
        <f t="shared" si="32"/>
        <v>1029</v>
      </c>
      <c r="Q106" s="6">
        <f t="shared" si="36"/>
        <v>22</v>
      </c>
      <c r="R106" s="5">
        <f t="shared" si="37"/>
        <v>520718.56922419998</v>
      </c>
      <c r="T106" s="5">
        <f t="shared" si="38"/>
        <v>0</v>
      </c>
      <c r="U106">
        <f t="shared" si="39"/>
        <v>0</v>
      </c>
      <c r="V106">
        <f t="shared" si="40"/>
        <v>40</v>
      </c>
      <c r="W106" t="str">
        <f t="shared" si="41"/>
        <v xml:space="preserve">CARGAS SOCIALES                         </v>
      </c>
      <c r="X106">
        <f t="shared" si="42"/>
        <v>15</v>
      </c>
      <c r="Y106" t="str">
        <f t="shared" si="43"/>
        <v xml:space="preserve"> </v>
      </c>
      <c r="AB106" t="str">
        <f t="shared" si="33"/>
        <v>CARGAS SOCIALES</v>
      </c>
    </row>
    <row r="107" spans="1:28" x14ac:dyDescent="0.25">
      <c r="A107" s="9">
        <v>5110502</v>
      </c>
      <c r="B107" s="9" t="s">
        <v>27</v>
      </c>
      <c r="C107">
        <v>22</v>
      </c>
      <c r="D107" s="10">
        <v>520718.56922419998</v>
      </c>
      <c r="E107" s="11"/>
      <c r="F107">
        <v>21140149</v>
      </c>
      <c r="G107" t="s">
        <v>104</v>
      </c>
      <c r="H107">
        <v>170</v>
      </c>
      <c r="I107">
        <v>1</v>
      </c>
      <c r="L107">
        <v>88888</v>
      </c>
      <c r="M107" s="2">
        <f t="shared" si="34"/>
        <v>106</v>
      </c>
      <c r="N107" s="3">
        <f t="shared" si="35"/>
        <v>43677</v>
      </c>
      <c r="O107" t="s">
        <v>302</v>
      </c>
      <c r="P107">
        <f t="shared" si="32"/>
        <v>2032</v>
      </c>
      <c r="Q107" s="6">
        <f t="shared" si="36"/>
        <v>22</v>
      </c>
      <c r="R107" s="5">
        <f t="shared" si="37"/>
        <v>698260.67</v>
      </c>
      <c r="T107" s="5">
        <f t="shared" si="38"/>
        <v>0</v>
      </c>
      <c r="U107">
        <f t="shared" si="39"/>
        <v>0</v>
      </c>
      <c r="V107">
        <f t="shared" si="40"/>
        <v>40</v>
      </c>
      <c r="W107" t="str">
        <f t="shared" si="41"/>
        <v xml:space="preserve">SAC                                     </v>
      </c>
      <c r="X107">
        <f t="shared" si="42"/>
        <v>3</v>
      </c>
      <c r="Y107" t="str">
        <f t="shared" si="43"/>
        <v xml:space="preserve"> </v>
      </c>
      <c r="AB107" t="str">
        <f t="shared" si="33"/>
        <v>SAC</v>
      </c>
    </row>
    <row r="108" spans="1:28" x14ac:dyDescent="0.25">
      <c r="A108" s="9">
        <v>5110513</v>
      </c>
      <c r="B108" s="9" t="s">
        <v>274</v>
      </c>
      <c r="C108">
        <v>22</v>
      </c>
      <c r="D108" s="10">
        <v>698260.67</v>
      </c>
      <c r="E108" s="11"/>
      <c r="F108">
        <v>21140150</v>
      </c>
      <c r="G108" t="s">
        <v>105</v>
      </c>
      <c r="H108">
        <v>171</v>
      </c>
      <c r="I108">
        <v>1</v>
      </c>
      <c r="L108">
        <v>88888</v>
      </c>
      <c r="M108" s="2">
        <f t="shared" si="34"/>
        <v>107</v>
      </c>
      <c r="N108" s="3">
        <f t="shared" si="35"/>
        <v>43677</v>
      </c>
      <c r="O108" t="s">
        <v>288</v>
      </c>
      <c r="P108">
        <f t="shared" si="32"/>
        <v>2035</v>
      </c>
      <c r="Q108" s="6">
        <f t="shared" si="36"/>
        <v>22</v>
      </c>
      <c r="R108" s="5">
        <f t="shared" si="37"/>
        <v>51117.47</v>
      </c>
      <c r="T108" s="5">
        <f t="shared" si="38"/>
        <v>0</v>
      </c>
      <c r="U108">
        <f t="shared" si="39"/>
        <v>0</v>
      </c>
      <c r="V108">
        <f t="shared" si="40"/>
        <v>40</v>
      </c>
      <c r="W108" t="str">
        <f t="shared" si="41"/>
        <v xml:space="preserve">HORAS EXTRAS                            </v>
      </c>
      <c r="X108">
        <f t="shared" si="42"/>
        <v>12</v>
      </c>
      <c r="Y108" t="str">
        <f t="shared" si="43"/>
        <v xml:space="preserve"> </v>
      </c>
      <c r="AB108" t="str">
        <f t="shared" si="33"/>
        <v>HORAS EXTRAS</v>
      </c>
    </row>
    <row r="109" spans="1:28" x14ac:dyDescent="0.25">
      <c r="A109" s="9">
        <v>5110516</v>
      </c>
      <c r="B109" s="9" t="s">
        <v>277</v>
      </c>
      <c r="C109">
        <v>22</v>
      </c>
      <c r="D109" s="10">
        <v>51117.47</v>
      </c>
      <c r="E109" s="11"/>
      <c r="F109">
        <v>21140151</v>
      </c>
      <c r="G109" t="s">
        <v>106</v>
      </c>
      <c r="H109">
        <v>172</v>
      </c>
      <c r="I109">
        <v>1</v>
      </c>
      <c r="L109">
        <v>88888</v>
      </c>
      <c r="M109" s="2">
        <f t="shared" si="34"/>
        <v>108</v>
      </c>
      <c r="N109" s="3">
        <f t="shared" si="35"/>
        <v>43677</v>
      </c>
      <c r="O109" t="s">
        <v>204</v>
      </c>
      <c r="P109">
        <f t="shared" si="32"/>
        <v>1081</v>
      </c>
      <c r="Q109" s="6">
        <f t="shared" si="36"/>
        <v>22</v>
      </c>
      <c r="R109" s="5">
        <f t="shared" si="37"/>
        <v>6.03</v>
      </c>
      <c r="T109" s="5">
        <f t="shared" si="38"/>
        <v>0</v>
      </c>
      <c r="U109">
        <f t="shared" si="39"/>
        <v>0</v>
      </c>
      <c r="V109">
        <f t="shared" si="40"/>
        <v>40</v>
      </c>
      <c r="W109" t="str">
        <f t="shared" si="41"/>
        <v xml:space="preserve">OTROS GASTOS EN PERSONAL                </v>
      </c>
      <c r="X109">
        <f t="shared" si="42"/>
        <v>24</v>
      </c>
      <c r="Y109" t="str">
        <f t="shared" si="43"/>
        <v xml:space="preserve"> </v>
      </c>
      <c r="AB109" t="str">
        <f t="shared" si="33"/>
        <v>OTROS GASTOS EN PERSONAL</v>
      </c>
    </row>
    <row r="110" spans="1:28" x14ac:dyDescent="0.25">
      <c r="A110" s="9">
        <v>5111501</v>
      </c>
      <c r="B110" s="9" t="s">
        <v>32</v>
      </c>
      <c r="C110">
        <v>22</v>
      </c>
      <c r="D110" s="10">
        <v>6.03</v>
      </c>
      <c r="E110" s="11"/>
      <c r="F110">
        <v>21140152</v>
      </c>
      <c r="G110" t="s">
        <v>107</v>
      </c>
      <c r="H110">
        <v>175</v>
      </c>
      <c r="I110">
        <v>1</v>
      </c>
      <c r="L110">
        <v>88888</v>
      </c>
      <c r="M110" s="2">
        <f t="shared" si="34"/>
        <v>109</v>
      </c>
      <c r="N110" s="3">
        <f t="shared" si="35"/>
        <v>43677</v>
      </c>
      <c r="O110" t="s">
        <v>203</v>
      </c>
      <c r="P110">
        <f t="shared" si="32"/>
        <v>1028</v>
      </c>
      <c r="Q110" s="6">
        <f t="shared" si="36"/>
        <v>23</v>
      </c>
      <c r="R110" s="5">
        <f t="shared" si="37"/>
        <v>484719.99</v>
      </c>
      <c r="T110" s="5">
        <f t="shared" si="38"/>
        <v>0</v>
      </c>
      <c r="U110">
        <f t="shared" si="39"/>
        <v>0</v>
      </c>
      <c r="V110">
        <f t="shared" si="40"/>
        <v>40</v>
      </c>
      <c r="W110" t="str">
        <f t="shared" si="41"/>
        <v xml:space="preserve">SUELDOS                                 </v>
      </c>
      <c r="X110">
        <f t="shared" si="42"/>
        <v>7</v>
      </c>
      <c r="Y110" t="str">
        <f t="shared" si="43"/>
        <v xml:space="preserve"> </v>
      </c>
      <c r="AB110" t="str">
        <f t="shared" si="33"/>
        <v>SUELDOS</v>
      </c>
    </row>
    <row r="111" spans="1:28" x14ac:dyDescent="0.25">
      <c r="A111" s="9">
        <v>5110501</v>
      </c>
      <c r="B111" s="9" t="s">
        <v>25</v>
      </c>
      <c r="C111">
        <v>23</v>
      </c>
      <c r="D111" s="10">
        <v>484719.99</v>
      </c>
      <c r="E111" s="11"/>
      <c r="F111">
        <v>21140153</v>
      </c>
      <c r="G111" t="s">
        <v>108</v>
      </c>
      <c r="H111">
        <v>176</v>
      </c>
      <c r="I111">
        <v>1</v>
      </c>
      <c r="L111">
        <v>88888</v>
      </c>
      <c r="M111" s="2">
        <f t="shared" si="34"/>
        <v>110</v>
      </c>
      <c r="N111" s="3">
        <f t="shared" si="35"/>
        <v>43677</v>
      </c>
      <c r="O111" t="s">
        <v>143</v>
      </c>
      <c r="P111">
        <f t="shared" si="32"/>
        <v>1029</v>
      </c>
      <c r="Q111" s="6">
        <f t="shared" si="36"/>
        <v>23</v>
      </c>
      <c r="R111" s="5">
        <f t="shared" si="37"/>
        <v>204881.53635479999</v>
      </c>
      <c r="T111" s="5">
        <f t="shared" si="38"/>
        <v>0</v>
      </c>
      <c r="U111">
        <f t="shared" si="39"/>
        <v>0</v>
      </c>
      <c r="V111">
        <f t="shared" si="40"/>
        <v>40</v>
      </c>
      <c r="W111" t="str">
        <f t="shared" si="41"/>
        <v xml:space="preserve">CARGAS SOCIALES                         </v>
      </c>
      <c r="X111">
        <f t="shared" si="42"/>
        <v>15</v>
      </c>
      <c r="Y111" t="str">
        <f t="shared" si="43"/>
        <v xml:space="preserve"> </v>
      </c>
      <c r="AB111" t="str">
        <f t="shared" si="33"/>
        <v>CARGAS SOCIALES</v>
      </c>
    </row>
    <row r="112" spans="1:28" x14ac:dyDescent="0.25">
      <c r="A112" s="9">
        <v>5110502</v>
      </c>
      <c r="B112" s="9" t="s">
        <v>27</v>
      </c>
      <c r="C112">
        <v>23</v>
      </c>
      <c r="D112" s="10">
        <v>204881.53635479999</v>
      </c>
      <c r="E112" s="11"/>
      <c r="F112">
        <v>21140154</v>
      </c>
      <c r="G112" t="s">
        <v>1</v>
      </c>
      <c r="H112">
        <v>177</v>
      </c>
      <c r="I112">
        <v>1</v>
      </c>
      <c r="L112">
        <v>88888</v>
      </c>
      <c r="M112" s="2">
        <f t="shared" si="34"/>
        <v>111</v>
      </c>
      <c r="N112" s="3">
        <f t="shared" si="35"/>
        <v>43677</v>
      </c>
      <c r="O112" t="s">
        <v>302</v>
      </c>
      <c r="P112">
        <f t="shared" si="32"/>
        <v>2032</v>
      </c>
      <c r="Q112" s="6">
        <f t="shared" si="36"/>
        <v>23</v>
      </c>
      <c r="R112" s="5">
        <f t="shared" si="37"/>
        <v>254565.36</v>
      </c>
      <c r="T112" s="5">
        <f t="shared" si="38"/>
        <v>0</v>
      </c>
      <c r="U112">
        <f t="shared" si="39"/>
        <v>0</v>
      </c>
      <c r="V112">
        <f t="shared" si="40"/>
        <v>40</v>
      </c>
      <c r="W112" t="str">
        <f t="shared" si="41"/>
        <v xml:space="preserve">SAC                                     </v>
      </c>
      <c r="X112">
        <f t="shared" si="42"/>
        <v>3</v>
      </c>
      <c r="Y112" t="str">
        <f t="shared" si="43"/>
        <v xml:space="preserve"> </v>
      </c>
      <c r="AB112" t="str">
        <f t="shared" si="33"/>
        <v>SAC</v>
      </c>
    </row>
    <row r="113" spans="1:28" x14ac:dyDescent="0.25">
      <c r="A113" s="9">
        <v>5110513</v>
      </c>
      <c r="B113" s="9" t="s">
        <v>274</v>
      </c>
      <c r="C113">
        <v>23</v>
      </c>
      <c r="D113" s="10">
        <v>254565.36</v>
      </c>
      <c r="E113" s="11"/>
      <c r="F113">
        <v>21140155</v>
      </c>
      <c r="G113" t="s">
        <v>109</v>
      </c>
      <c r="H113">
        <v>186</v>
      </c>
      <c r="I113">
        <v>1</v>
      </c>
      <c r="L113">
        <v>88888</v>
      </c>
      <c r="M113" s="2">
        <f t="shared" si="34"/>
        <v>112</v>
      </c>
      <c r="N113" s="3">
        <f t="shared" si="35"/>
        <v>43677</v>
      </c>
      <c r="O113" t="s">
        <v>289</v>
      </c>
      <c r="P113">
        <f t="shared" si="32"/>
        <v>2033</v>
      </c>
      <c r="Q113" s="6">
        <f t="shared" si="36"/>
        <v>23</v>
      </c>
      <c r="R113" s="5">
        <f t="shared" si="37"/>
        <v>13120.8</v>
      </c>
      <c r="T113" s="5">
        <f t="shared" si="38"/>
        <v>0</v>
      </c>
      <c r="U113">
        <f t="shared" si="39"/>
        <v>0</v>
      </c>
      <c r="V113">
        <f t="shared" si="40"/>
        <v>40</v>
      </c>
      <c r="W113" t="str">
        <f t="shared" si="41"/>
        <v xml:space="preserve">VACACIONES                              </v>
      </c>
      <c r="X113">
        <f t="shared" si="42"/>
        <v>10</v>
      </c>
      <c r="Y113" t="str">
        <f t="shared" si="43"/>
        <v xml:space="preserve"> </v>
      </c>
      <c r="AB113" t="str">
        <f t="shared" si="33"/>
        <v>VACACIONES</v>
      </c>
    </row>
    <row r="114" spans="1:28" x14ac:dyDescent="0.25">
      <c r="A114" s="9">
        <v>5110514</v>
      </c>
      <c r="B114" s="9" t="s">
        <v>275</v>
      </c>
      <c r="C114">
        <v>23</v>
      </c>
      <c r="D114" s="10">
        <v>13120.8</v>
      </c>
      <c r="E114" s="11"/>
      <c r="F114">
        <v>21140157</v>
      </c>
      <c r="G114" t="s">
        <v>110</v>
      </c>
      <c r="H114">
        <v>1429</v>
      </c>
      <c r="I114">
        <v>1</v>
      </c>
      <c r="L114">
        <v>88888</v>
      </c>
      <c r="M114" s="2">
        <f t="shared" si="34"/>
        <v>113</v>
      </c>
      <c r="N114" s="3">
        <f t="shared" si="35"/>
        <v>43677</v>
      </c>
      <c r="O114" t="s">
        <v>288</v>
      </c>
      <c r="P114">
        <f t="shared" si="32"/>
        <v>2035</v>
      </c>
      <c r="Q114" s="6">
        <f t="shared" si="36"/>
        <v>23</v>
      </c>
      <c r="R114" s="5">
        <f t="shared" si="37"/>
        <v>14705.61</v>
      </c>
      <c r="T114" s="5">
        <f t="shared" si="38"/>
        <v>0</v>
      </c>
      <c r="U114">
        <f t="shared" si="39"/>
        <v>0</v>
      </c>
      <c r="V114">
        <f t="shared" si="40"/>
        <v>40</v>
      </c>
      <c r="W114" t="str">
        <f t="shared" si="41"/>
        <v xml:space="preserve">HORAS EXTRAS                            </v>
      </c>
      <c r="X114">
        <f t="shared" si="42"/>
        <v>12</v>
      </c>
      <c r="Y114" t="str">
        <f t="shared" si="43"/>
        <v xml:space="preserve"> </v>
      </c>
      <c r="AB114" t="str">
        <f t="shared" si="33"/>
        <v>HORAS EXTRAS</v>
      </c>
    </row>
    <row r="115" spans="1:28" x14ac:dyDescent="0.25">
      <c r="A115" s="9">
        <v>5110516</v>
      </c>
      <c r="B115" s="9" t="s">
        <v>277</v>
      </c>
      <c r="C115">
        <v>23</v>
      </c>
      <c r="D115" s="10">
        <v>14705.61</v>
      </c>
      <c r="E115" s="11"/>
      <c r="F115">
        <v>21140158</v>
      </c>
      <c r="G115" t="s">
        <v>111</v>
      </c>
      <c r="H115">
        <v>1442</v>
      </c>
      <c r="I115">
        <v>1</v>
      </c>
      <c r="L115">
        <v>88888</v>
      </c>
      <c r="M115" s="2">
        <f t="shared" si="34"/>
        <v>114</v>
      </c>
      <c r="N115" s="3">
        <f t="shared" si="35"/>
        <v>43677</v>
      </c>
      <c r="O115" t="s">
        <v>204</v>
      </c>
      <c r="P115">
        <f t="shared" si="32"/>
        <v>1081</v>
      </c>
      <c r="Q115" s="6">
        <f t="shared" si="36"/>
        <v>23</v>
      </c>
      <c r="R115" s="5">
        <f t="shared" si="37"/>
        <v>3.21</v>
      </c>
      <c r="T115" s="5">
        <f t="shared" si="38"/>
        <v>0</v>
      </c>
      <c r="U115">
        <f t="shared" si="39"/>
        <v>0</v>
      </c>
      <c r="V115">
        <f t="shared" si="40"/>
        <v>40</v>
      </c>
      <c r="W115" t="str">
        <f t="shared" si="41"/>
        <v xml:space="preserve">OTROS GASTOS EN PERSONAL                </v>
      </c>
      <c r="X115">
        <f t="shared" si="42"/>
        <v>24</v>
      </c>
      <c r="Y115" t="str">
        <f t="shared" si="43"/>
        <v xml:space="preserve"> </v>
      </c>
      <c r="AB115" t="str">
        <f t="shared" si="33"/>
        <v>OTROS GASTOS EN PERSONAL</v>
      </c>
    </row>
    <row r="116" spans="1:28" x14ac:dyDescent="0.25">
      <c r="A116" s="9">
        <v>5111501</v>
      </c>
      <c r="B116" s="9" t="s">
        <v>32</v>
      </c>
      <c r="C116">
        <v>23</v>
      </c>
      <c r="D116" s="10">
        <v>3.21</v>
      </c>
      <c r="E116" s="11"/>
      <c r="F116">
        <v>21140159</v>
      </c>
      <c r="G116" t="s">
        <v>112</v>
      </c>
      <c r="H116">
        <v>1445</v>
      </c>
      <c r="I116">
        <v>1</v>
      </c>
      <c r="L116">
        <v>88888</v>
      </c>
      <c r="M116" s="2">
        <f t="shared" si="34"/>
        <v>115</v>
      </c>
      <c r="N116" s="3">
        <f t="shared" si="35"/>
        <v>43677</v>
      </c>
      <c r="O116" t="s">
        <v>203</v>
      </c>
      <c r="P116">
        <f t="shared" si="32"/>
        <v>1028</v>
      </c>
      <c r="Q116" s="6">
        <f t="shared" si="36"/>
        <v>24</v>
      </c>
      <c r="R116" s="5">
        <f t="shared" si="37"/>
        <v>1008888.08</v>
      </c>
      <c r="T116" s="5">
        <f t="shared" si="38"/>
        <v>0</v>
      </c>
      <c r="U116">
        <f t="shared" si="39"/>
        <v>0</v>
      </c>
      <c r="V116">
        <f t="shared" si="40"/>
        <v>40</v>
      </c>
      <c r="W116" t="str">
        <f t="shared" si="41"/>
        <v xml:space="preserve">SUELDOS                                 </v>
      </c>
      <c r="X116">
        <f t="shared" si="42"/>
        <v>7</v>
      </c>
      <c r="Y116" t="str">
        <f t="shared" si="43"/>
        <v xml:space="preserve"> </v>
      </c>
      <c r="AB116" t="str">
        <f t="shared" si="33"/>
        <v>SUELDOS</v>
      </c>
    </row>
    <row r="117" spans="1:28" x14ac:dyDescent="0.25">
      <c r="A117" s="9">
        <v>5110501</v>
      </c>
      <c r="B117" s="9" t="s">
        <v>25</v>
      </c>
      <c r="C117">
        <v>24</v>
      </c>
      <c r="D117" s="10">
        <v>1008888.08</v>
      </c>
      <c r="E117" s="11"/>
      <c r="F117">
        <v>21140160</v>
      </c>
      <c r="G117" t="s">
        <v>113</v>
      </c>
      <c r="H117">
        <v>1456</v>
      </c>
      <c r="I117">
        <v>1</v>
      </c>
      <c r="L117">
        <v>88888</v>
      </c>
      <c r="M117" s="2">
        <f t="shared" si="34"/>
        <v>116</v>
      </c>
      <c r="N117" s="3">
        <f t="shared" si="35"/>
        <v>43677</v>
      </c>
      <c r="O117" t="s">
        <v>143</v>
      </c>
      <c r="P117">
        <f t="shared" si="32"/>
        <v>1029</v>
      </c>
      <c r="Q117" s="6">
        <f t="shared" si="36"/>
        <v>24</v>
      </c>
      <c r="R117" s="5">
        <f t="shared" si="37"/>
        <v>460564.881329</v>
      </c>
      <c r="T117" s="5">
        <f t="shared" si="38"/>
        <v>0</v>
      </c>
      <c r="U117">
        <f t="shared" si="39"/>
        <v>0</v>
      </c>
      <c r="V117">
        <f t="shared" si="40"/>
        <v>40</v>
      </c>
      <c r="W117" t="str">
        <f t="shared" si="41"/>
        <v xml:space="preserve">CARGAS SOCIALES                         </v>
      </c>
      <c r="X117">
        <f t="shared" si="42"/>
        <v>15</v>
      </c>
      <c r="Y117" t="str">
        <f t="shared" si="43"/>
        <v xml:space="preserve"> </v>
      </c>
      <c r="AB117" t="str">
        <f t="shared" si="33"/>
        <v>CARGAS SOCIALES</v>
      </c>
    </row>
    <row r="118" spans="1:28" x14ac:dyDescent="0.25">
      <c r="A118" s="9">
        <v>5110502</v>
      </c>
      <c r="B118" s="9" t="s">
        <v>27</v>
      </c>
      <c r="C118">
        <v>24</v>
      </c>
      <c r="D118" s="10">
        <v>460564.881329</v>
      </c>
      <c r="E118" s="11"/>
      <c r="F118">
        <v>21140161</v>
      </c>
      <c r="G118" t="s">
        <v>114</v>
      </c>
      <c r="H118">
        <v>1474</v>
      </c>
      <c r="I118">
        <v>1</v>
      </c>
      <c r="L118">
        <v>88888</v>
      </c>
      <c r="M118" s="2">
        <f t="shared" si="34"/>
        <v>117</v>
      </c>
      <c r="N118" s="3">
        <f t="shared" si="35"/>
        <v>43677</v>
      </c>
      <c r="O118" t="s">
        <v>302</v>
      </c>
      <c r="P118">
        <f t="shared" si="32"/>
        <v>2032</v>
      </c>
      <c r="Q118" s="6">
        <f t="shared" si="36"/>
        <v>24</v>
      </c>
      <c r="R118" s="5">
        <f t="shared" si="37"/>
        <v>576894.03</v>
      </c>
      <c r="T118" s="5">
        <f t="shared" si="38"/>
        <v>0</v>
      </c>
      <c r="U118">
        <f t="shared" si="39"/>
        <v>0</v>
      </c>
      <c r="V118">
        <f t="shared" si="40"/>
        <v>40</v>
      </c>
      <c r="W118" t="str">
        <f t="shared" si="41"/>
        <v xml:space="preserve">SAC                                     </v>
      </c>
      <c r="X118">
        <f t="shared" si="42"/>
        <v>3</v>
      </c>
      <c r="Y118" t="str">
        <f t="shared" si="43"/>
        <v xml:space="preserve"> </v>
      </c>
      <c r="AB118" t="str">
        <f t="shared" si="33"/>
        <v>SAC</v>
      </c>
    </row>
    <row r="119" spans="1:28" x14ac:dyDescent="0.25">
      <c r="A119" s="9">
        <v>5110513</v>
      </c>
      <c r="B119" s="9" t="s">
        <v>274</v>
      </c>
      <c r="C119">
        <v>24</v>
      </c>
      <c r="D119" s="10">
        <v>576894.03</v>
      </c>
      <c r="E119" s="11"/>
      <c r="F119">
        <v>21140162</v>
      </c>
      <c r="G119" t="s">
        <v>115</v>
      </c>
      <c r="H119">
        <v>1477</v>
      </c>
      <c r="I119">
        <v>1</v>
      </c>
      <c r="L119">
        <v>88888</v>
      </c>
      <c r="M119" s="2">
        <f t="shared" si="34"/>
        <v>118</v>
      </c>
      <c r="N119" s="3">
        <f t="shared" si="35"/>
        <v>43677</v>
      </c>
      <c r="O119" t="s">
        <v>288</v>
      </c>
      <c r="P119">
        <f t="shared" si="32"/>
        <v>2035</v>
      </c>
      <c r="Q119" s="6">
        <f t="shared" si="36"/>
        <v>24</v>
      </c>
      <c r="R119" s="5">
        <f t="shared" si="37"/>
        <v>123807.94</v>
      </c>
      <c r="T119" s="5">
        <f t="shared" si="38"/>
        <v>0</v>
      </c>
      <c r="U119">
        <f t="shared" si="39"/>
        <v>0</v>
      </c>
      <c r="V119">
        <f t="shared" si="40"/>
        <v>40</v>
      </c>
      <c r="W119" t="str">
        <f t="shared" si="41"/>
        <v xml:space="preserve">HORAS EXTRAS                            </v>
      </c>
      <c r="X119">
        <f t="shared" si="42"/>
        <v>12</v>
      </c>
      <c r="Y119" t="str">
        <f t="shared" si="43"/>
        <v xml:space="preserve"> </v>
      </c>
      <c r="AB119" t="str">
        <f t="shared" si="33"/>
        <v>HORAS EXTRAS</v>
      </c>
    </row>
    <row r="120" spans="1:28" x14ac:dyDescent="0.25">
      <c r="A120" s="9">
        <v>5110516</v>
      </c>
      <c r="B120" s="9" t="s">
        <v>277</v>
      </c>
      <c r="C120">
        <v>24</v>
      </c>
      <c r="D120" s="10">
        <v>123807.94</v>
      </c>
      <c r="E120" s="11"/>
      <c r="F120">
        <v>21140163</v>
      </c>
      <c r="G120" t="s">
        <v>116</v>
      </c>
      <c r="H120">
        <v>1487</v>
      </c>
      <c r="I120">
        <v>1</v>
      </c>
      <c r="L120">
        <v>88888</v>
      </c>
      <c r="M120" s="2">
        <f t="shared" si="34"/>
        <v>119</v>
      </c>
      <c r="N120" s="3">
        <f t="shared" si="35"/>
        <v>43677</v>
      </c>
      <c r="O120" t="s">
        <v>204</v>
      </c>
      <c r="P120">
        <f t="shared" si="32"/>
        <v>1081</v>
      </c>
      <c r="Q120" s="6">
        <f t="shared" si="36"/>
        <v>24</v>
      </c>
      <c r="R120" s="5">
        <f t="shared" si="37"/>
        <v>14955.49</v>
      </c>
      <c r="T120" s="5">
        <f t="shared" si="38"/>
        <v>0</v>
      </c>
      <c r="U120">
        <f t="shared" si="39"/>
        <v>0</v>
      </c>
      <c r="V120">
        <f t="shared" si="40"/>
        <v>40</v>
      </c>
      <c r="W120" t="str">
        <f t="shared" si="41"/>
        <v xml:space="preserve">OTROS GASTOS EN PERSONAL                </v>
      </c>
      <c r="X120">
        <f t="shared" si="42"/>
        <v>24</v>
      </c>
      <c r="Y120" t="str">
        <f t="shared" si="43"/>
        <v xml:space="preserve"> </v>
      </c>
      <c r="AB120" t="str">
        <f t="shared" si="33"/>
        <v>OTROS GASTOS EN PERSONAL</v>
      </c>
    </row>
    <row r="121" spans="1:28" x14ac:dyDescent="0.25">
      <c r="A121" s="9">
        <v>5111501</v>
      </c>
      <c r="B121" s="9" t="s">
        <v>32</v>
      </c>
      <c r="C121">
        <v>24</v>
      </c>
      <c r="D121" s="10">
        <v>14955.49</v>
      </c>
      <c r="E121" s="11"/>
      <c r="F121">
        <v>21140164</v>
      </c>
      <c r="G121" t="s">
        <v>117</v>
      </c>
      <c r="H121">
        <v>1497</v>
      </c>
      <c r="I121">
        <v>1</v>
      </c>
      <c r="L121">
        <v>88888</v>
      </c>
      <c r="M121" s="2">
        <f t="shared" si="34"/>
        <v>120</v>
      </c>
      <c r="N121" s="3">
        <f t="shared" si="35"/>
        <v>43677</v>
      </c>
      <c r="O121" t="s">
        <v>203</v>
      </c>
      <c r="P121">
        <f t="shared" si="32"/>
        <v>1028</v>
      </c>
      <c r="Q121" s="6">
        <f t="shared" si="36"/>
        <v>25</v>
      </c>
      <c r="R121" s="5">
        <f t="shared" si="37"/>
        <v>187858.82</v>
      </c>
      <c r="T121" s="5">
        <f t="shared" si="38"/>
        <v>0</v>
      </c>
      <c r="U121">
        <f t="shared" si="39"/>
        <v>0</v>
      </c>
      <c r="V121">
        <f t="shared" si="40"/>
        <v>40</v>
      </c>
      <c r="W121" t="str">
        <f t="shared" si="41"/>
        <v xml:space="preserve">SUELDOS                                 </v>
      </c>
      <c r="X121">
        <f t="shared" si="42"/>
        <v>7</v>
      </c>
      <c r="Y121" t="str">
        <f t="shared" si="43"/>
        <v xml:space="preserve"> </v>
      </c>
      <c r="AB121" t="str">
        <f t="shared" si="33"/>
        <v>SUELDOS</v>
      </c>
    </row>
    <row r="122" spans="1:28" x14ac:dyDescent="0.25">
      <c r="A122" s="9">
        <v>5110501</v>
      </c>
      <c r="B122" s="9" t="s">
        <v>25</v>
      </c>
      <c r="C122">
        <v>25</v>
      </c>
      <c r="D122" s="10">
        <v>187858.82</v>
      </c>
      <c r="E122" s="11"/>
      <c r="F122">
        <v>21140165</v>
      </c>
      <c r="G122" t="s">
        <v>118</v>
      </c>
      <c r="H122">
        <v>1501</v>
      </c>
      <c r="I122">
        <v>1</v>
      </c>
      <c r="L122">
        <v>88888</v>
      </c>
      <c r="M122" s="2">
        <f t="shared" si="34"/>
        <v>121</v>
      </c>
      <c r="N122" s="3">
        <f t="shared" si="35"/>
        <v>43677</v>
      </c>
      <c r="O122" t="s">
        <v>143</v>
      </c>
      <c r="P122">
        <f t="shared" si="32"/>
        <v>1029</v>
      </c>
      <c r="Q122" s="6">
        <f t="shared" si="36"/>
        <v>25</v>
      </c>
      <c r="R122" s="5">
        <f t="shared" si="37"/>
        <v>117396.9239616</v>
      </c>
      <c r="T122" s="5">
        <f t="shared" si="38"/>
        <v>0</v>
      </c>
      <c r="U122">
        <f t="shared" si="39"/>
        <v>0</v>
      </c>
      <c r="V122">
        <f t="shared" si="40"/>
        <v>40</v>
      </c>
      <c r="W122" t="str">
        <f t="shared" si="41"/>
        <v xml:space="preserve">CARGAS SOCIALES                         </v>
      </c>
      <c r="X122">
        <f t="shared" si="42"/>
        <v>15</v>
      </c>
      <c r="Y122" t="str">
        <f t="shared" si="43"/>
        <v xml:space="preserve"> </v>
      </c>
      <c r="AB122" t="str">
        <f t="shared" si="33"/>
        <v>CARGAS SOCIALES</v>
      </c>
    </row>
    <row r="123" spans="1:28" x14ac:dyDescent="0.25">
      <c r="A123" s="9">
        <v>5110502</v>
      </c>
      <c r="B123" s="9" t="s">
        <v>27</v>
      </c>
      <c r="C123">
        <v>25</v>
      </c>
      <c r="D123" s="10">
        <v>117396.9239616</v>
      </c>
      <c r="E123" s="11"/>
      <c r="F123">
        <v>21140166</v>
      </c>
      <c r="G123" t="s">
        <v>119</v>
      </c>
      <c r="H123">
        <v>1507</v>
      </c>
      <c r="I123">
        <v>1</v>
      </c>
      <c r="L123">
        <v>88888</v>
      </c>
      <c r="M123" s="2">
        <f t="shared" si="34"/>
        <v>122</v>
      </c>
      <c r="N123" s="3">
        <f t="shared" si="35"/>
        <v>43677</v>
      </c>
      <c r="O123" t="s">
        <v>302</v>
      </c>
      <c r="P123">
        <f t="shared" si="32"/>
        <v>2032</v>
      </c>
      <c r="Q123" s="6">
        <f t="shared" si="36"/>
        <v>25</v>
      </c>
      <c r="R123" s="5">
        <f t="shared" si="37"/>
        <v>115533.26</v>
      </c>
      <c r="T123" s="5">
        <f t="shared" si="38"/>
        <v>0</v>
      </c>
      <c r="U123">
        <f t="shared" si="39"/>
        <v>0</v>
      </c>
      <c r="V123">
        <f t="shared" si="40"/>
        <v>40</v>
      </c>
      <c r="W123" t="str">
        <f t="shared" si="41"/>
        <v xml:space="preserve">SAC                                     </v>
      </c>
      <c r="X123">
        <f t="shared" si="42"/>
        <v>3</v>
      </c>
      <c r="Y123" t="str">
        <f t="shared" si="43"/>
        <v xml:space="preserve"> </v>
      </c>
      <c r="AB123" t="str">
        <f t="shared" si="33"/>
        <v>SAC</v>
      </c>
    </row>
    <row r="124" spans="1:28" x14ac:dyDescent="0.25">
      <c r="A124" s="9">
        <v>5110513</v>
      </c>
      <c r="B124" s="9" t="s">
        <v>274</v>
      </c>
      <c r="C124">
        <v>25</v>
      </c>
      <c r="D124" s="10">
        <v>115533.26</v>
      </c>
      <c r="E124" s="11"/>
      <c r="F124">
        <v>21140167</v>
      </c>
      <c r="G124" t="s">
        <v>120</v>
      </c>
      <c r="H124">
        <v>1508</v>
      </c>
      <c r="I124">
        <v>1</v>
      </c>
      <c r="L124">
        <v>88888</v>
      </c>
      <c r="M124" s="2">
        <f t="shared" si="34"/>
        <v>123</v>
      </c>
      <c r="N124" s="3">
        <f t="shared" si="35"/>
        <v>43677</v>
      </c>
      <c r="O124" t="s">
        <v>289</v>
      </c>
      <c r="P124">
        <f t="shared" si="32"/>
        <v>2033</v>
      </c>
      <c r="Q124" s="6">
        <f t="shared" si="36"/>
        <v>25</v>
      </c>
      <c r="R124" s="5">
        <f t="shared" si="37"/>
        <v>1970</v>
      </c>
      <c r="T124" s="5">
        <f t="shared" si="38"/>
        <v>0</v>
      </c>
      <c r="U124">
        <f t="shared" si="39"/>
        <v>0</v>
      </c>
      <c r="V124">
        <f t="shared" si="40"/>
        <v>40</v>
      </c>
      <c r="W124" t="str">
        <f t="shared" si="41"/>
        <v xml:space="preserve">VACACIONES                              </v>
      </c>
      <c r="X124">
        <f t="shared" si="42"/>
        <v>10</v>
      </c>
      <c r="Y124" t="str">
        <f t="shared" si="43"/>
        <v xml:space="preserve"> </v>
      </c>
      <c r="AB124" t="str">
        <f t="shared" si="33"/>
        <v>VACACIONES</v>
      </c>
    </row>
    <row r="125" spans="1:28" x14ac:dyDescent="0.25">
      <c r="A125" s="9">
        <v>5110514</v>
      </c>
      <c r="B125" s="9" t="s">
        <v>275</v>
      </c>
      <c r="C125">
        <v>25</v>
      </c>
      <c r="D125" s="10">
        <v>1970</v>
      </c>
      <c r="E125" s="11"/>
      <c r="F125">
        <v>21140168</v>
      </c>
      <c r="G125" t="s">
        <v>121</v>
      </c>
      <c r="H125">
        <v>1509</v>
      </c>
      <c r="I125">
        <v>1</v>
      </c>
      <c r="L125">
        <v>88888</v>
      </c>
      <c r="M125" s="2">
        <f t="shared" si="34"/>
        <v>124</v>
      </c>
      <c r="N125" s="3">
        <f t="shared" si="35"/>
        <v>43677</v>
      </c>
      <c r="O125" t="s">
        <v>288</v>
      </c>
      <c r="P125">
        <f t="shared" si="32"/>
        <v>2035</v>
      </c>
      <c r="Q125" s="6">
        <f t="shared" si="36"/>
        <v>25</v>
      </c>
      <c r="R125" s="5">
        <f t="shared" si="37"/>
        <v>9197.84</v>
      </c>
      <c r="T125" s="5">
        <f t="shared" si="38"/>
        <v>0</v>
      </c>
      <c r="U125">
        <f t="shared" si="39"/>
        <v>0</v>
      </c>
      <c r="V125">
        <f t="shared" si="40"/>
        <v>40</v>
      </c>
      <c r="W125" t="str">
        <f t="shared" si="41"/>
        <v xml:space="preserve">HORAS EXTRAS                            </v>
      </c>
      <c r="X125">
        <f t="shared" si="42"/>
        <v>12</v>
      </c>
      <c r="Y125" t="str">
        <f t="shared" si="43"/>
        <v xml:space="preserve"> </v>
      </c>
      <c r="AB125" t="str">
        <f t="shared" si="33"/>
        <v>HORAS EXTRAS</v>
      </c>
    </row>
    <row r="126" spans="1:28" x14ac:dyDescent="0.25">
      <c r="A126" s="9">
        <v>5110516</v>
      </c>
      <c r="B126" s="9" t="s">
        <v>277</v>
      </c>
      <c r="C126">
        <v>25</v>
      </c>
      <c r="D126" s="10">
        <v>9197.84</v>
      </c>
      <c r="E126" s="11"/>
      <c r="F126">
        <v>21140169</v>
      </c>
      <c r="G126" t="s">
        <v>122</v>
      </c>
      <c r="H126">
        <v>1510</v>
      </c>
      <c r="I126">
        <v>1</v>
      </c>
      <c r="L126">
        <v>88888</v>
      </c>
      <c r="M126" s="2">
        <f t="shared" si="34"/>
        <v>125</v>
      </c>
      <c r="N126" s="3">
        <f t="shared" si="35"/>
        <v>43677</v>
      </c>
      <c r="O126" t="s">
        <v>204</v>
      </c>
      <c r="P126">
        <f t="shared" si="32"/>
        <v>1081</v>
      </c>
      <c r="Q126" s="6">
        <f t="shared" si="36"/>
        <v>25</v>
      </c>
      <c r="R126" s="5">
        <f t="shared" si="37"/>
        <v>1.08</v>
      </c>
      <c r="T126" s="5">
        <f t="shared" si="38"/>
        <v>0</v>
      </c>
      <c r="U126">
        <f t="shared" si="39"/>
        <v>0</v>
      </c>
      <c r="V126">
        <f t="shared" si="40"/>
        <v>40</v>
      </c>
      <c r="W126" t="str">
        <f t="shared" si="41"/>
        <v xml:space="preserve">OTROS GASTOS EN PERSONAL                </v>
      </c>
      <c r="X126">
        <f t="shared" si="42"/>
        <v>24</v>
      </c>
      <c r="Y126" t="str">
        <f t="shared" si="43"/>
        <v xml:space="preserve"> </v>
      </c>
      <c r="AB126" t="str">
        <f t="shared" si="33"/>
        <v>OTROS GASTOS EN PERSONAL</v>
      </c>
    </row>
    <row r="127" spans="1:28" x14ac:dyDescent="0.25">
      <c r="A127" s="9">
        <v>5111501</v>
      </c>
      <c r="B127" s="9" t="s">
        <v>32</v>
      </c>
      <c r="C127">
        <v>25</v>
      </c>
      <c r="D127" s="10">
        <v>1.08</v>
      </c>
      <c r="E127" s="11"/>
      <c r="F127">
        <v>21140170</v>
      </c>
      <c r="G127" t="s">
        <v>123</v>
      </c>
      <c r="H127">
        <v>1577</v>
      </c>
      <c r="I127">
        <v>1</v>
      </c>
      <c r="L127">
        <v>88888</v>
      </c>
      <c r="M127" s="2">
        <f t="shared" si="34"/>
        <v>126</v>
      </c>
      <c r="N127" s="3">
        <f t="shared" si="35"/>
        <v>43677</v>
      </c>
      <c r="O127" t="s">
        <v>203</v>
      </c>
      <c r="P127">
        <f t="shared" si="32"/>
        <v>1028</v>
      </c>
      <c r="Q127" s="6">
        <f t="shared" si="36"/>
        <v>27</v>
      </c>
      <c r="R127" s="5">
        <f t="shared" si="37"/>
        <v>535580.01</v>
      </c>
      <c r="T127" s="5">
        <f t="shared" si="38"/>
        <v>0</v>
      </c>
      <c r="U127">
        <f t="shared" si="39"/>
        <v>0</v>
      </c>
      <c r="V127">
        <f t="shared" si="40"/>
        <v>40</v>
      </c>
      <c r="W127" t="str">
        <f t="shared" si="41"/>
        <v xml:space="preserve">SUELDOS                                 </v>
      </c>
      <c r="X127">
        <f t="shared" si="42"/>
        <v>7</v>
      </c>
      <c r="Y127" t="str">
        <f t="shared" si="43"/>
        <v xml:space="preserve"> </v>
      </c>
      <c r="AB127" t="str">
        <f t="shared" si="33"/>
        <v>SUELDOS</v>
      </c>
    </row>
    <row r="128" spans="1:28" x14ac:dyDescent="0.25">
      <c r="A128" s="9">
        <v>5110501</v>
      </c>
      <c r="B128" s="9" t="s">
        <v>25</v>
      </c>
      <c r="C128">
        <v>27</v>
      </c>
      <c r="D128" s="11">
        <v>535580.01</v>
      </c>
      <c r="E128" s="11"/>
      <c r="F128">
        <v>21140171</v>
      </c>
      <c r="G128" t="s">
        <v>124</v>
      </c>
      <c r="H128">
        <v>1587</v>
      </c>
      <c r="I128">
        <v>1</v>
      </c>
      <c r="L128">
        <v>88888</v>
      </c>
      <c r="M128" s="2">
        <f t="shared" si="34"/>
        <v>127</v>
      </c>
      <c r="N128" s="3">
        <f t="shared" si="35"/>
        <v>43677</v>
      </c>
      <c r="O128" t="s">
        <v>143</v>
      </c>
      <c r="P128">
        <f t="shared" si="32"/>
        <v>1029</v>
      </c>
      <c r="Q128" s="6">
        <f t="shared" si="36"/>
        <v>27</v>
      </c>
      <c r="R128" s="5">
        <f t="shared" si="37"/>
        <v>224111.48855900002</v>
      </c>
      <c r="T128" s="5">
        <f t="shared" si="38"/>
        <v>0</v>
      </c>
      <c r="U128">
        <f t="shared" si="39"/>
        <v>0</v>
      </c>
      <c r="V128">
        <f t="shared" si="40"/>
        <v>40</v>
      </c>
      <c r="W128" t="str">
        <f t="shared" si="41"/>
        <v xml:space="preserve">CARGAS SOCIALES                         </v>
      </c>
      <c r="X128">
        <f t="shared" si="42"/>
        <v>15</v>
      </c>
      <c r="Y128" t="str">
        <f t="shared" si="43"/>
        <v xml:space="preserve"> </v>
      </c>
      <c r="AB128" t="str">
        <f t="shared" si="33"/>
        <v>CARGAS SOCIALES</v>
      </c>
    </row>
    <row r="129" spans="1:28" x14ac:dyDescent="0.25">
      <c r="A129" s="9">
        <v>5110502</v>
      </c>
      <c r="B129" s="9" t="s">
        <v>27</v>
      </c>
      <c r="C129">
        <v>27</v>
      </c>
      <c r="D129" s="11">
        <v>224111.48855900002</v>
      </c>
      <c r="E129" s="11"/>
      <c r="F129">
        <v>21140172</v>
      </c>
      <c r="G129" t="s">
        <v>125</v>
      </c>
      <c r="H129">
        <v>1593</v>
      </c>
      <c r="I129">
        <v>1</v>
      </c>
      <c r="L129">
        <v>88888</v>
      </c>
      <c r="M129" s="2">
        <f t="shared" si="34"/>
        <v>128</v>
      </c>
      <c r="N129" s="3">
        <f t="shared" si="35"/>
        <v>43677</v>
      </c>
      <c r="O129" t="s">
        <v>302</v>
      </c>
      <c r="P129">
        <f t="shared" si="32"/>
        <v>2032</v>
      </c>
      <c r="Q129" s="6">
        <f t="shared" si="36"/>
        <v>27</v>
      </c>
      <c r="R129" s="5">
        <f t="shared" si="37"/>
        <v>297278.58</v>
      </c>
      <c r="T129" s="5">
        <f t="shared" si="38"/>
        <v>0</v>
      </c>
      <c r="U129">
        <f t="shared" si="39"/>
        <v>0</v>
      </c>
      <c r="V129">
        <f t="shared" si="40"/>
        <v>40</v>
      </c>
      <c r="W129" t="str">
        <f t="shared" si="41"/>
        <v xml:space="preserve">SAC                                     </v>
      </c>
      <c r="X129">
        <f t="shared" si="42"/>
        <v>3</v>
      </c>
      <c r="Y129" t="str">
        <f t="shared" si="43"/>
        <v xml:space="preserve"> </v>
      </c>
      <c r="AB129" t="str">
        <f t="shared" si="33"/>
        <v>SAC</v>
      </c>
    </row>
    <row r="130" spans="1:28" x14ac:dyDescent="0.25">
      <c r="A130" s="9">
        <v>5110513</v>
      </c>
      <c r="B130" s="9" t="s">
        <v>274</v>
      </c>
      <c r="C130">
        <v>27</v>
      </c>
      <c r="D130" s="11">
        <v>297278.58</v>
      </c>
      <c r="E130" s="11"/>
      <c r="F130">
        <v>21140173</v>
      </c>
      <c r="G130" t="s">
        <v>126</v>
      </c>
      <c r="H130">
        <v>1594</v>
      </c>
      <c r="I130">
        <v>1</v>
      </c>
      <c r="L130">
        <v>88888</v>
      </c>
      <c r="M130" s="2">
        <f t="shared" si="34"/>
        <v>129</v>
      </c>
      <c r="N130" s="3">
        <f t="shared" si="35"/>
        <v>43677</v>
      </c>
      <c r="O130" t="s">
        <v>288</v>
      </c>
      <c r="P130">
        <f t="shared" ref="P130:P193" si="44">LOOKUP(A131,F$2:F$153,H$2:H$153)</f>
        <v>2035</v>
      </c>
      <c r="Q130" s="6">
        <f t="shared" si="36"/>
        <v>27</v>
      </c>
      <c r="R130" s="5">
        <f t="shared" si="37"/>
        <v>28260.959999999999</v>
      </c>
      <c r="T130" s="5">
        <f t="shared" si="38"/>
        <v>0</v>
      </c>
      <c r="U130">
        <f t="shared" si="39"/>
        <v>0</v>
      </c>
      <c r="V130">
        <f t="shared" si="40"/>
        <v>40</v>
      </c>
      <c r="W130" t="str">
        <f t="shared" si="41"/>
        <v xml:space="preserve">HORAS EXTRAS                            </v>
      </c>
      <c r="X130">
        <f t="shared" si="42"/>
        <v>12</v>
      </c>
      <c r="Y130" t="str">
        <f t="shared" si="43"/>
        <v xml:space="preserve"> </v>
      </c>
      <c r="AB130" t="str">
        <f t="shared" ref="AB130:AB193" si="45">LOOKUP(A131,F$2:F$153,G$2:G$153)</f>
        <v>HORAS EXTRAS</v>
      </c>
    </row>
    <row r="131" spans="1:28" x14ac:dyDescent="0.25">
      <c r="A131" s="9">
        <v>5110516</v>
      </c>
      <c r="B131" s="9" t="s">
        <v>277</v>
      </c>
      <c r="C131">
        <v>27</v>
      </c>
      <c r="D131" s="11">
        <v>28260.959999999999</v>
      </c>
      <c r="E131" s="11"/>
      <c r="F131">
        <v>21140174</v>
      </c>
      <c r="G131" t="s">
        <v>127</v>
      </c>
      <c r="H131">
        <v>1595</v>
      </c>
      <c r="I131">
        <v>1</v>
      </c>
      <c r="L131">
        <v>88888</v>
      </c>
      <c r="M131" s="2">
        <f t="shared" si="34"/>
        <v>130</v>
      </c>
      <c r="N131" s="3">
        <f t="shared" si="35"/>
        <v>43677</v>
      </c>
      <c r="O131" t="s">
        <v>204</v>
      </c>
      <c r="P131">
        <f t="shared" si="44"/>
        <v>1081</v>
      </c>
      <c r="Q131" s="6">
        <f t="shared" si="36"/>
        <v>27</v>
      </c>
      <c r="R131" s="5">
        <f t="shared" si="37"/>
        <v>30474.6</v>
      </c>
      <c r="T131" s="5">
        <f t="shared" si="38"/>
        <v>0</v>
      </c>
      <c r="U131">
        <f t="shared" si="39"/>
        <v>0</v>
      </c>
      <c r="V131">
        <f t="shared" si="40"/>
        <v>40</v>
      </c>
      <c r="W131" t="str">
        <f t="shared" si="41"/>
        <v xml:space="preserve">OTROS GASTOS EN PERSONAL                </v>
      </c>
      <c r="X131">
        <f t="shared" si="42"/>
        <v>24</v>
      </c>
      <c r="Y131" t="str">
        <f t="shared" si="43"/>
        <v xml:space="preserve"> </v>
      </c>
      <c r="AB131" t="str">
        <f t="shared" si="45"/>
        <v>OTROS GASTOS EN PERSONAL</v>
      </c>
    </row>
    <row r="132" spans="1:28" x14ac:dyDescent="0.25">
      <c r="A132" s="9">
        <v>5111501</v>
      </c>
      <c r="B132" s="9" t="s">
        <v>32</v>
      </c>
      <c r="C132">
        <v>27</v>
      </c>
      <c r="D132" s="11">
        <v>30474.6</v>
      </c>
      <c r="E132" s="11"/>
      <c r="F132">
        <v>21140175</v>
      </c>
      <c r="G132" t="s">
        <v>128</v>
      </c>
      <c r="H132">
        <v>1602</v>
      </c>
      <c r="I132">
        <v>1</v>
      </c>
      <c r="L132">
        <v>88888</v>
      </c>
      <c r="M132" s="2">
        <f t="shared" si="34"/>
        <v>131</v>
      </c>
      <c r="N132" s="3">
        <f t="shared" si="35"/>
        <v>43677</v>
      </c>
      <c r="O132" t="s">
        <v>203</v>
      </c>
      <c r="P132">
        <f t="shared" si="44"/>
        <v>1028</v>
      </c>
      <c r="Q132" s="6">
        <f t="shared" si="36"/>
        <v>28</v>
      </c>
      <c r="R132" s="5">
        <f t="shared" si="37"/>
        <v>1052553.92</v>
      </c>
      <c r="T132" s="5">
        <f t="shared" si="38"/>
        <v>0</v>
      </c>
      <c r="U132">
        <f t="shared" si="39"/>
        <v>0</v>
      </c>
      <c r="V132">
        <f t="shared" si="40"/>
        <v>40</v>
      </c>
      <c r="W132" t="str">
        <f t="shared" si="41"/>
        <v xml:space="preserve">SUELDOS                                 </v>
      </c>
      <c r="X132">
        <f t="shared" si="42"/>
        <v>7</v>
      </c>
      <c r="Y132" t="str">
        <f t="shared" si="43"/>
        <v xml:space="preserve"> </v>
      </c>
      <c r="AB132" t="str">
        <f t="shared" si="45"/>
        <v>SUELDOS</v>
      </c>
    </row>
    <row r="133" spans="1:28" x14ac:dyDescent="0.25">
      <c r="A133" s="9">
        <v>5110501</v>
      </c>
      <c r="B133" s="9" t="s">
        <v>25</v>
      </c>
      <c r="C133">
        <v>28</v>
      </c>
      <c r="D133" s="11">
        <v>1052553.92</v>
      </c>
      <c r="E133" s="11"/>
      <c r="F133">
        <v>21140176</v>
      </c>
      <c r="G133" t="s">
        <v>129</v>
      </c>
      <c r="H133">
        <v>1649</v>
      </c>
      <c r="I133">
        <v>1</v>
      </c>
      <c r="L133">
        <v>88888</v>
      </c>
      <c r="M133" s="2">
        <f t="shared" si="34"/>
        <v>132</v>
      </c>
      <c r="N133" s="3">
        <f t="shared" si="35"/>
        <v>43677</v>
      </c>
      <c r="O133" t="s">
        <v>143</v>
      </c>
      <c r="P133">
        <f t="shared" si="44"/>
        <v>1029</v>
      </c>
      <c r="Q133" s="6">
        <f t="shared" si="36"/>
        <v>28</v>
      </c>
      <c r="R133" s="5">
        <f t="shared" si="37"/>
        <v>453747.01755359996</v>
      </c>
      <c r="T133" s="5">
        <f t="shared" si="38"/>
        <v>0</v>
      </c>
      <c r="U133">
        <f t="shared" si="39"/>
        <v>0</v>
      </c>
      <c r="V133">
        <f t="shared" si="40"/>
        <v>40</v>
      </c>
      <c r="W133" t="str">
        <f t="shared" si="41"/>
        <v xml:space="preserve">CARGAS SOCIALES                         </v>
      </c>
      <c r="X133">
        <f t="shared" si="42"/>
        <v>15</v>
      </c>
      <c r="Y133" t="str">
        <f t="shared" si="43"/>
        <v xml:space="preserve"> </v>
      </c>
      <c r="AB133" t="str">
        <f t="shared" si="45"/>
        <v>CARGAS SOCIALES</v>
      </c>
    </row>
    <row r="134" spans="1:28" x14ac:dyDescent="0.25">
      <c r="A134" s="9">
        <v>5110502</v>
      </c>
      <c r="B134" s="9" t="s">
        <v>27</v>
      </c>
      <c r="C134">
        <v>28</v>
      </c>
      <c r="D134" s="11">
        <v>453747.01755359996</v>
      </c>
      <c r="E134" s="19"/>
      <c r="F134">
        <v>21140177</v>
      </c>
      <c r="G134" s="15" t="s">
        <v>149</v>
      </c>
      <c r="H134" s="16">
        <v>1741</v>
      </c>
      <c r="I134">
        <v>1</v>
      </c>
      <c r="L134">
        <v>88888</v>
      </c>
      <c r="M134" s="2">
        <f t="shared" si="34"/>
        <v>133</v>
      </c>
      <c r="N134" s="3">
        <f t="shared" si="35"/>
        <v>43677</v>
      </c>
      <c r="O134" t="s">
        <v>302</v>
      </c>
      <c r="P134">
        <f t="shared" si="44"/>
        <v>2032</v>
      </c>
      <c r="Q134" s="6">
        <f t="shared" si="36"/>
        <v>28</v>
      </c>
      <c r="R134" s="5">
        <f t="shared" si="37"/>
        <v>657709.78</v>
      </c>
      <c r="T134" s="5">
        <f t="shared" si="38"/>
        <v>0</v>
      </c>
      <c r="U134">
        <f t="shared" si="39"/>
        <v>0</v>
      </c>
      <c r="V134">
        <f t="shared" si="40"/>
        <v>40</v>
      </c>
      <c r="W134" t="str">
        <f t="shared" si="41"/>
        <v xml:space="preserve">SAC                                     </v>
      </c>
      <c r="X134">
        <f t="shared" si="42"/>
        <v>3</v>
      </c>
      <c r="Y134" t="str">
        <f t="shared" si="43"/>
        <v xml:space="preserve"> </v>
      </c>
      <c r="AB134" t="str">
        <f t="shared" si="45"/>
        <v>SAC</v>
      </c>
    </row>
    <row r="135" spans="1:28" x14ac:dyDescent="0.25">
      <c r="A135" s="9">
        <v>5110513</v>
      </c>
      <c r="B135" s="9" t="s">
        <v>274</v>
      </c>
      <c r="C135">
        <v>28</v>
      </c>
      <c r="D135" s="11">
        <v>657709.78</v>
      </c>
      <c r="E135" s="11"/>
      <c r="F135">
        <v>21140178</v>
      </c>
      <c r="G135" t="s">
        <v>130</v>
      </c>
      <c r="H135">
        <v>1752</v>
      </c>
      <c r="I135">
        <v>1</v>
      </c>
      <c r="L135">
        <v>88888</v>
      </c>
      <c r="M135" s="2">
        <f t="shared" si="34"/>
        <v>134</v>
      </c>
      <c r="N135" s="3">
        <f t="shared" si="35"/>
        <v>43677</v>
      </c>
      <c r="O135" t="s">
        <v>289</v>
      </c>
      <c r="P135">
        <f t="shared" si="44"/>
        <v>2033</v>
      </c>
      <c r="Q135" s="6">
        <f t="shared" si="36"/>
        <v>28</v>
      </c>
      <c r="R135" s="5">
        <f t="shared" si="37"/>
        <v>6427.54</v>
      </c>
      <c r="T135" s="5">
        <f t="shared" si="38"/>
        <v>0</v>
      </c>
      <c r="U135">
        <f t="shared" si="39"/>
        <v>0</v>
      </c>
      <c r="V135">
        <f t="shared" si="40"/>
        <v>40</v>
      </c>
      <c r="W135" t="str">
        <f t="shared" si="41"/>
        <v xml:space="preserve">VACACIONES                              </v>
      </c>
      <c r="X135">
        <f t="shared" si="42"/>
        <v>10</v>
      </c>
      <c r="Y135" t="str">
        <f t="shared" si="43"/>
        <v xml:space="preserve"> </v>
      </c>
      <c r="AB135" t="str">
        <f t="shared" si="45"/>
        <v>VACACIONES</v>
      </c>
    </row>
    <row r="136" spans="1:28" x14ac:dyDescent="0.25">
      <c r="A136" s="9">
        <v>5110514</v>
      </c>
      <c r="B136" s="9" t="s">
        <v>275</v>
      </c>
      <c r="C136">
        <v>28</v>
      </c>
      <c r="D136" s="11">
        <v>6427.54</v>
      </c>
      <c r="E136" s="5"/>
      <c r="F136">
        <v>21140179</v>
      </c>
      <c r="G136" t="s">
        <v>131</v>
      </c>
      <c r="H136">
        <v>1753</v>
      </c>
      <c r="I136">
        <v>1</v>
      </c>
      <c r="L136">
        <v>88888</v>
      </c>
      <c r="M136" s="2">
        <f t="shared" si="34"/>
        <v>135</v>
      </c>
      <c r="N136" s="3">
        <f t="shared" si="35"/>
        <v>43677</v>
      </c>
      <c r="O136" t="s">
        <v>288</v>
      </c>
      <c r="P136">
        <f t="shared" si="44"/>
        <v>2035</v>
      </c>
      <c r="Q136" s="6">
        <f t="shared" si="36"/>
        <v>28</v>
      </c>
      <c r="R136" s="5">
        <f t="shared" si="37"/>
        <v>157333.07999999999</v>
      </c>
      <c r="T136" s="5">
        <f t="shared" si="38"/>
        <v>0</v>
      </c>
      <c r="U136">
        <f t="shared" si="39"/>
        <v>0</v>
      </c>
      <c r="V136">
        <f t="shared" si="40"/>
        <v>40</v>
      </c>
      <c r="W136" t="str">
        <f t="shared" si="41"/>
        <v xml:space="preserve">HORAS EXTRAS                            </v>
      </c>
      <c r="X136">
        <f t="shared" si="42"/>
        <v>12</v>
      </c>
      <c r="Y136" t="str">
        <f t="shared" si="43"/>
        <v xml:space="preserve"> </v>
      </c>
      <c r="AB136" t="str">
        <f t="shared" si="45"/>
        <v>HORAS EXTRAS</v>
      </c>
    </row>
    <row r="137" spans="1:28" x14ac:dyDescent="0.25">
      <c r="A137" s="9">
        <v>5110516</v>
      </c>
      <c r="B137" s="9" t="s">
        <v>277</v>
      </c>
      <c r="C137">
        <v>28</v>
      </c>
      <c r="D137" s="11">
        <v>157333.07999999999</v>
      </c>
      <c r="E137" s="11"/>
      <c r="F137">
        <v>21140180</v>
      </c>
      <c r="G137" t="s">
        <v>132</v>
      </c>
      <c r="H137">
        <v>1869</v>
      </c>
      <c r="I137">
        <v>1</v>
      </c>
      <c r="L137">
        <v>88888</v>
      </c>
      <c r="M137" s="2">
        <f t="shared" si="34"/>
        <v>136</v>
      </c>
      <c r="N137" s="3">
        <f t="shared" si="35"/>
        <v>43677</v>
      </c>
      <c r="O137" t="s">
        <v>204</v>
      </c>
      <c r="P137">
        <f t="shared" si="44"/>
        <v>1081</v>
      </c>
      <c r="Q137" s="6">
        <f t="shared" si="36"/>
        <v>28</v>
      </c>
      <c r="R137" s="5">
        <f t="shared" si="37"/>
        <v>50682.31</v>
      </c>
      <c r="T137" s="5">
        <f t="shared" si="38"/>
        <v>0</v>
      </c>
      <c r="U137">
        <f t="shared" si="39"/>
        <v>0</v>
      </c>
      <c r="V137">
        <f t="shared" si="40"/>
        <v>40</v>
      </c>
      <c r="W137" t="str">
        <f t="shared" si="41"/>
        <v xml:space="preserve">OTROS GASTOS EN PERSONAL                </v>
      </c>
      <c r="X137">
        <f t="shared" si="42"/>
        <v>24</v>
      </c>
      <c r="Y137" t="str">
        <f t="shared" si="43"/>
        <v xml:space="preserve"> </v>
      </c>
      <c r="AB137" t="str">
        <f t="shared" si="45"/>
        <v>OTROS GASTOS EN PERSONAL</v>
      </c>
    </row>
    <row r="138" spans="1:28" x14ac:dyDescent="0.25">
      <c r="A138" s="9">
        <v>5111501</v>
      </c>
      <c r="B138" s="9" t="s">
        <v>32</v>
      </c>
      <c r="C138">
        <v>28</v>
      </c>
      <c r="D138" s="11">
        <v>50682.31</v>
      </c>
      <c r="E138" s="10"/>
      <c r="F138" s="15">
        <v>21140181</v>
      </c>
      <c r="G138" s="15" t="s">
        <v>194</v>
      </c>
      <c r="H138" s="15">
        <v>1888</v>
      </c>
      <c r="I138" s="15">
        <v>1</v>
      </c>
      <c r="L138">
        <v>88888</v>
      </c>
      <c r="M138" s="2">
        <f t="shared" si="34"/>
        <v>137</v>
      </c>
      <c r="N138" s="3">
        <f t="shared" si="35"/>
        <v>43677</v>
      </c>
      <c r="O138" t="s">
        <v>203</v>
      </c>
      <c r="P138">
        <f t="shared" si="44"/>
        <v>1028</v>
      </c>
      <c r="Q138" s="6">
        <f t="shared" si="36"/>
        <v>29</v>
      </c>
      <c r="R138" s="5">
        <f t="shared" si="37"/>
        <v>228251.78</v>
      </c>
      <c r="T138" s="5">
        <f t="shared" si="38"/>
        <v>0</v>
      </c>
      <c r="U138">
        <f t="shared" si="39"/>
        <v>0</v>
      </c>
      <c r="V138">
        <f t="shared" si="40"/>
        <v>40</v>
      </c>
      <c r="W138" t="str">
        <f t="shared" si="41"/>
        <v xml:space="preserve">SUELDOS                                 </v>
      </c>
      <c r="X138">
        <f t="shared" si="42"/>
        <v>7</v>
      </c>
      <c r="Y138" t="str">
        <f t="shared" si="43"/>
        <v xml:space="preserve"> </v>
      </c>
      <c r="AB138" t="str">
        <f t="shared" si="45"/>
        <v>SUELDOS</v>
      </c>
    </row>
    <row r="139" spans="1:28" x14ac:dyDescent="0.25">
      <c r="A139" s="9">
        <v>5110501</v>
      </c>
      <c r="B139" s="9" t="s">
        <v>25</v>
      </c>
      <c r="C139">
        <v>29</v>
      </c>
      <c r="D139" s="11">
        <v>228251.78</v>
      </c>
      <c r="E139" s="10"/>
      <c r="F139" s="16">
        <v>21140182</v>
      </c>
      <c r="G139" s="16" t="s">
        <v>141</v>
      </c>
      <c r="H139" s="16">
        <v>1898</v>
      </c>
      <c r="I139">
        <v>1</v>
      </c>
      <c r="L139">
        <v>88888</v>
      </c>
      <c r="M139" s="2">
        <f t="shared" si="34"/>
        <v>138</v>
      </c>
      <c r="N139" s="3">
        <f t="shared" si="35"/>
        <v>43677</v>
      </c>
      <c r="O139" t="s">
        <v>143</v>
      </c>
      <c r="P139">
        <f t="shared" si="44"/>
        <v>1029</v>
      </c>
      <c r="Q139" s="6">
        <f t="shared" si="36"/>
        <v>29</v>
      </c>
      <c r="R139" s="5">
        <f t="shared" si="37"/>
        <v>82704.485908600007</v>
      </c>
      <c r="T139" s="5">
        <f t="shared" si="38"/>
        <v>0</v>
      </c>
      <c r="U139">
        <f t="shared" si="39"/>
        <v>0</v>
      </c>
      <c r="V139">
        <f t="shared" si="40"/>
        <v>40</v>
      </c>
      <c r="W139" t="str">
        <f t="shared" si="41"/>
        <v xml:space="preserve">CARGAS SOCIALES                         </v>
      </c>
      <c r="X139">
        <f t="shared" si="42"/>
        <v>15</v>
      </c>
      <c r="Y139" t="str">
        <f t="shared" si="43"/>
        <v xml:space="preserve"> </v>
      </c>
      <c r="AB139" t="str">
        <f t="shared" si="45"/>
        <v>CARGAS SOCIALES</v>
      </c>
    </row>
    <row r="140" spans="1:28" x14ac:dyDescent="0.25">
      <c r="A140" s="9">
        <v>5110502</v>
      </c>
      <c r="B140" s="7" t="s">
        <v>27</v>
      </c>
      <c r="C140">
        <v>29</v>
      </c>
      <c r="D140" s="11">
        <v>82704.485908600007</v>
      </c>
      <c r="E140" s="11"/>
      <c r="F140" s="15">
        <v>21140183</v>
      </c>
      <c r="G140" s="15" t="s">
        <v>142</v>
      </c>
      <c r="H140" s="16">
        <v>1986</v>
      </c>
      <c r="I140">
        <v>1</v>
      </c>
      <c r="L140">
        <v>88888</v>
      </c>
      <c r="M140" s="2">
        <f t="shared" si="34"/>
        <v>139</v>
      </c>
      <c r="N140" s="3">
        <f t="shared" si="35"/>
        <v>43677</v>
      </c>
      <c r="O140" t="s">
        <v>302</v>
      </c>
      <c r="P140">
        <f t="shared" si="44"/>
        <v>2032</v>
      </c>
      <c r="Q140" s="6">
        <f t="shared" si="36"/>
        <v>29</v>
      </c>
      <c r="R140" s="5">
        <f t="shared" si="37"/>
        <v>107968.29</v>
      </c>
      <c r="T140" s="5">
        <f t="shared" si="38"/>
        <v>0</v>
      </c>
      <c r="U140">
        <f t="shared" si="39"/>
        <v>0</v>
      </c>
      <c r="V140">
        <f t="shared" si="40"/>
        <v>40</v>
      </c>
      <c r="W140" t="str">
        <f t="shared" si="41"/>
        <v xml:space="preserve">SAC                                     </v>
      </c>
      <c r="X140">
        <f t="shared" si="42"/>
        <v>3</v>
      </c>
      <c r="Y140" t="str">
        <f t="shared" si="43"/>
        <v xml:space="preserve"> </v>
      </c>
      <c r="AB140" t="str">
        <f t="shared" si="45"/>
        <v>SAC</v>
      </c>
    </row>
    <row r="141" spans="1:28" x14ac:dyDescent="0.25">
      <c r="A141" s="9">
        <v>5110513</v>
      </c>
      <c r="B141" s="9" t="s">
        <v>274</v>
      </c>
      <c r="C141">
        <v>29</v>
      </c>
      <c r="D141" s="11">
        <v>107968.29</v>
      </c>
      <c r="E141" s="14"/>
      <c r="F141" s="16">
        <v>21140184</v>
      </c>
      <c r="G141" s="16" t="s">
        <v>145</v>
      </c>
      <c r="H141" s="16">
        <v>1998</v>
      </c>
      <c r="I141" s="16">
        <v>1</v>
      </c>
      <c r="L141">
        <v>88888</v>
      </c>
      <c r="M141" s="2">
        <f t="shared" si="34"/>
        <v>140</v>
      </c>
      <c r="N141" s="3">
        <f t="shared" si="35"/>
        <v>43677</v>
      </c>
      <c r="O141" t="s">
        <v>204</v>
      </c>
      <c r="P141">
        <f t="shared" si="44"/>
        <v>1081</v>
      </c>
      <c r="Q141" s="6">
        <f t="shared" si="36"/>
        <v>29</v>
      </c>
      <c r="R141" s="5">
        <f t="shared" si="37"/>
        <v>1.95</v>
      </c>
      <c r="T141" s="5">
        <f t="shared" si="38"/>
        <v>0</v>
      </c>
      <c r="U141">
        <f t="shared" si="39"/>
        <v>0</v>
      </c>
      <c r="V141">
        <f t="shared" si="40"/>
        <v>40</v>
      </c>
      <c r="W141" t="str">
        <f t="shared" si="41"/>
        <v xml:space="preserve">OTROS GASTOS EN PERSONAL                </v>
      </c>
      <c r="X141">
        <f t="shared" si="42"/>
        <v>24</v>
      </c>
      <c r="Y141" t="str">
        <f t="shared" si="43"/>
        <v xml:space="preserve"> </v>
      </c>
      <c r="AB141" t="str">
        <f t="shared" si="45"/>
        <v>OTROS GASTOS EN PERSONAL</v>
      </c>
    </row>
    <row r="142" spans="1:28" x14ac:dyDescent="0.25">
      <c r="A142" s="9">
        <v>5111501</v>
      </c>
      <c r="B142" s="9" t="s">
        <v>32</v>
      </c>
      <c r="C142">
        <v>29</v>
      </c>
      <c r="D142" s="11">
        <v>1.95</v>
      </c>
      <c r="E142" s="14"/>
      <c r="F142" s="21">
        <v>21140186</v>
      </c>
      <c r="G142" s="21" t="s">
        <v>278</v>
      </c>
      <c r="H142" s="16">
        <v>2068</v>
      </c>
      <c r="I142" s="16">
        <v>1</v>
      </c>
      <c r="L142">
        <v>88888</v>
      </c>
      <c r="M142" s="2">
        <f t="shared" si="34"/>
        <v>141</v>
      </c>
      <c r="N142" s="3">
        <f t="shared" si="35"/>
        <v>43677</v>
      </c>
      <c r="O142" t="s">
        <v>203</v>
      </c>
      <c r="P142">
        <f t="shared" si="44"/>
        <v>1028</v>
      </c>
      <c r="Q142" s="6">
        <f t="shared" si="36"/>
        <v>30</v>
      </c>
      <c r="R142" s="5">
        <f t="shared" si="37"/>
        <v>179413.91</v>
      </c>
      <c r="T142" s="5">
        <f t="shared" si="38"/>
        <v>0</v>
      </c>
      <c r="U142">
        <f t="shared" si="39"/>
        <v>0</v>
      </c>
      <c r="V142">
        <f t="shared" si="40"/>
        <v>40</v>
      </c>
      <c r="W142" t="str">
        <f t="shared" si="41"/>
        <v xml:space="preserve">SUELDOS                                 </v>
      </c>
      <c r="X142">
        <f t="shared" si="42"/>
        <v>7</v>
      </c>
      <c r="Y142" t="str">
        <f t="shared" si="43"/>
        <v xml:space="preserve"> </v>
      </c>
      <c r="AB142" t="str">
        <f t="shared" si="45"/>
        <v>SUELDOS</v>
      </c>
    </row>
    <row r="143" spans="1:28" x14ac:dyDescent="0.25">
      <c r="A143" s="9">
        <v>5110501</v>
      </c>
      <c r="B143" s="9" t="s">
        <v>25</v>
      </c>
      <c r="C143">
        <v>30</v>
      </c>
      <c r="D143" s="11">
        <v>179413.91</v>
      </c>
      <c r="E143" s="14"/>
      <c r="F143">
        <v>21140187</v>
      </c>
      <c r="G143" t="s">
        <v>290</v>
      </c>
      <c r="H143">
        <v>2084</v>
      </c>
      <c r="I143">
        <v>1</v>
      </c>
      <c r="L143">
        <v>88888</v>
      </c>
      <c r="M143" s="2">
        <f t="shared" si="34"/>
        <v>142</v>
      </c>
      <c r="N143" s="3">
        <f t="shared" si="35"/>
        <v>43677</v>
      </c>
      <c r="O143" t="s">
        <v>143</v>
      </c>
      <c r="P143">
        <f t="shared" si="44"/>
        <v>1029</v>
      </c>
      <c r="Q143" s="6">
        <f t="shared" si="36"/>
        <v>30</v>
      </c>
      <c r="R143" s="5">
        <f t="shared" si="37"/>
        <v>76601.26656579999</v>
      </c>
      <c r="T143" s="5">
        <f t="shared" si="38"/>
        <v>0</v>
      </c>
      <c r="U143">
        <f t="shared" si="39"/>
        <v>0</v>
      </c>
      <c r="V143">
        <f t="shared" si="40"/>
        <v>40</v>
      </c>
      <c r="W143" t="str">
        <f t="shared" si="41"/>
        <v xml:space="preserve">CARGAS SOCIALES                         </v>
      </c>
      <c r="X143">
        <f t="shared" si="42"/>
        <v>15</v>
      </c>
      <c r="Y143" t="str">
        <f t="shared" si="43"/>
        <v xml:space="preserve"> </v>
      </c>
      <c r="AB143" t="str">
        <f t="shared" si="45"/>
        <v>CARGAS SOCIALES</v>
      </c>
    </row>
    <row r="144" spans="1:28" x14ac:dyDescent="0.25">
      <c r="A144" s="9">
        <v>5110502</v>
      </c>
      <c r="B144" s="9" t="s">
        <v>27</v>
      </c>
      <c r="C144">
        <v>30</v>
      </c>
      <c r="D144" s="11">
        <v>76601.26656579999</v>
      </c>
      <c r="E144" s="14"/>
      <c r="F144">
        <v>21140189</v>
      </c>
      <c r="G144" s="21" t="s">
        <v>291</v>
      </c>
      <c r="H144" s="16">
        <v>2097</v>
      </c>
      <c r="I144" s="16">
        <v>1</v>
      </c>
      <c r="L144">
        <v>88888</v>
      </c>
      <c r="M144" s="2">
        <f t="shared" si="34"/>
        <v>143</v>
      </c>
      <c r="N144" s="3">
        <f t="shared" si="35"/>
        <v>43677</v>
      </c>
      <c r="O144" t="s">
        <v>302</v>
      </c>
      <c r="P144">
        <f t="shared" si="44"/>
        <v>2032</v>
      </c>
      <c r="Q144" s="6">
        <f t="shared" si="36"/>
        <v>30</v>
      </c>
      <c r="R144" s="5">
        <f t="shared" si="37"/>
        <v>97923.4</v>
      </c>
      <c r="T144" s="5">
        <f t="shared" si="38"/>
        <v>0</v>
      </c>
      <c r="U144">
        <f t="shared" si="39"/>
        <v>0</v>
      </c>
      <c r="V144">
        <f t="shared" si="40"/>
        <v>40</v>
      </c>
      <c r="W144" t="str">
        <f t="shared" si="41"/>
        <v xml:space="preserve">SAC                                     </v>
      </c>
      <c r="X144">
        <f t="shared" si="42"/>
        <v>3</v>
      </c>
      <c r="Y144" t="str">
        <f t="shared" si="43"/>
        <v xml:space="preserve"> </v>
      </c>
      <c r="AB144" t="str">
        <f t="shared" si="45"/>
        <v>SAC</v>
      </c>
    </row>
    <row r="145" spans="1:28" x14ac:dyDescent="0.25">
      <c r="A145" s="9">
        <v>5110513</v>
      </c>
      <c r="B145" s="9" t="s">
        <v>274</v>
      </c>
      <c r="C145">
        <v>30</v>
      </c>
      <c r="D145" s="11">
        <v>97923.4</v>
      </c>
      <c r="E145" s="12"/>
      <c r="F145">
        <v>21140402</v>
      </c>
      <c r="G145" t="s">
        <v>133</v>
      </c>
      <c r="H145">
        <v>182</v>
      </c>
      <c r="I145">
        <v>1</v>
      </c>
      <c r="L145">
        <v>88888</v>
      </c>
      <c r="M145" s="2">
        <f t="shared" si="34"/>
        <v>144</v>
      </c>
      <c r="N145" s="3">
        <f t="shared" si="35"/>
        <v>43677</v>
      </c>
      <c r="O145" t="s">
        <v>289</v>
      </c>
      <c r="P145">
        <f t="shared" si="44"/>
        <v>2033</v>
      </c>
      <c r="Q145" s="6">
        <f t="shared" si="36"/>
        <v>30</v>
      </c>
      <c r="R145" s="5">
        <f t="shared" si="37"/>
        <v>4379.34</v>
      </c>
      <c r="T145" s="5">
        <f t="shared" si="38"/>
        <v>0</v>
      </c>
      <c r="U145">
        <f t="shared" si="39"/>
        <v>0</v>
      </c>
      <c r="V145">
        <f t="shared" si="40"/>
        <v>40</v>
      </c>
      <c r="W145" t="str">
        <f t="shared" si="41"/>
        <v xml:space="preserve">VACACIONES                              </v>
      </c>
      <c r="X145">
        <f t="shared" si="42"/>
        <v>10</v>
      </c>
      <c r="Y145" t="str">
        <f t="shared" si="43"/>
        <v xml:space="preserve"> </v>
      </c>
      <c r="AB145" t="str">
        <f t="shared" si="45"/>
        <v>VACACIONES</v>
      </c>
    </row>
    <row r="146" spans="1:28" x14ac:dyDescent="0.25">
      <c r="A146" s="9">
        <v>5110514</v>
      </c>
      <c r="B146" s="9" t="s">
        <v>275</v>
      </c>
      <c r="C146">
        <v>30</v>
      </c>
      <c r="D146" s="11">
        <v>4379.34</v>
      </c>
      <c r="E146" s="5"/>
      <c r="F146">
        <v>21140501</v>
      </c>
      <c r="G146" t="s">
        <v>134</v>
      </c>
      <c r="H146">
        <v>181</v>
      </c>
      <c r="I146">
        <v>1</v>
      </c>
      <c r="L146">
        <v>88888</v>
      </c>
      <c r="M146" s="2">
        <f t="shared" si="34"/>
        <v>145</v>
      </c>
      <c r="N146" s="3">
        <f t="shared" si="35"/>
        <v>43677</v>
      </c>
      <c r="O146" t="s">
        <v>288</v>
      </c>
      <c r="P146">
        <f t="shared" si="44"/>
        <v>2035</v>
      </c>
      <c r="Q146" s="6">
        <f t="shared" si="36"/>
        <v>30</v>
      </c>
      <c r="R146" s="5">
        <f t="shared" si="37"/>
        <v>4720.5600000000004</v>
      </c>
      <c r="T146" s="5">
        <f t="shared" si="38"/>
        <v>0</v>
      </c>
      <c r="U146">
        <f t="shared" si="39"/>
        <v>0</v>
      </c>
      <c r="V146">
        <f t="shared" si="40"/>
        <v>40</v>
      </c>
      <c r="W146" t="str">
        <f t="shared" si="41"/>
        <v xml:space="preserve">HORAS EXTRAS                            </v>
      </c>
      <c r="X146">
        <f t="shared" si="42"/>
        <v>12</v>
      </c>
      <c r="Y146" t="str">
        <f t="shared" si="43"/>
        <v xml:space="preserve"> </v>
      </c>
      <c r="AB146" t="str">
        <f t="shared" si="45"/>
        <v>HORAS EXTRAS</v>
      </c>
    </row>
    <row r="147" spans="1:28" x14ac:dyDescent="0.25">
      <c r="A147" s="9">
        <v>5110516</v>
      </c>
      <c r="B147" s="9" t="s">
        <v>277</v>
      </c>
      <c r="C147">
        <v>30</v>
      </c>
      <c r="D147" s="11">
        <v>4720.5600000000004</v>
      </c>
      <c r="E147" s="10"/>
      <c r="F147">
        <v>21140502</v>
      </c>
      <c r="G147" t="s">
        <v>147</v>
      </c>
      <c r="H147">
        <v>182</v>
      </c>
      <c r="I147">
        <v>1</v>
      </c>
      <c r="L147">
        <v>88888</v>
      </c>
      <c r="M147" s="2">
        <f t="shared" si="34"/>
        <v>146</v>
      </c>
      <c r="N147" s="3">
        <f t="shared" si="35"/>
        <v>43677</v>
      </c>
      <c r="O147" t="s">
        <v>204</v>
      </c>
      <c r="P147">
        <f t="shared" si="44"/>
        <v>1081</v>
      </c>
      <c r="Q147" s="6">
        <f t="shared" si="36"/>
        <v>30</v>
      </c>
      <c r="R147" s="5">
        <f t="shared" si="37"/>
        <v>22548.97</v>
      </c>
      <c r="T147" s="5">
        <f t="shared" si="38"/>
        <v>0</v>
      </c>
      <c r="U147">
        <f t="shared" si="39"/>
        <v>0</v>
      </c>
      <c r="V147">
        <f t="shared" si="40"/>
        <v>40</v>
      </c>
      <c r="W147" t="str">
        <f t="shared" si="41"/>
        <v xml:space="preserve">OTROS GASTOS EN PERSONAL                </v>
      </c>
      <c r="X147">
        <f t="shared" si="42"/>
        <v>24</v>
      </c>
      <c r="Y147" t="str">
        <f t="shared" si="43"/>
        <v xml:space="preserve"> </v>
      </c>
      <c r="AB147" t="str">
        <f t="shared" si="45"/>
        <v>OTROS GASTOS EN PERSONAL</v>
      </c>
    </row>
    <row r="148" spans="1:28" x14ac:dyDescent="0.25">
      <c r="A148" s="9">
        <v>5111501</v>
      </c>
      <c r="B148" s="9" t="s">
        <v>32</v>
      </c>
      <c r="C148">
        <v>30</v>
      </c>
      <c r="D148" s="11">
        <v>22548.97</v>
      </c>
      <c r="E148" s="12"/>
      <c r="F148">
        <v>21140503</v>
      </c>
      <c r="G148" t="s">
        <v>146</v>
      </c>
      <c r="H148">
        <v>1443</v>
      </c>
      <c r="I148">
        <v>1</v>
      </c>
      <c r="L148">
        <v>88888</v>
      </c>
      <c r="M148" s="2">
        <f t="shared" si="34"/>
        <v>147</v>
      </c>
      <c r="N148" s="3">
        <f t="shared" si="35"/>
        <v>43677</v>
      </c>
      <c r="O148" t="s">
        <v>203</v>
      </c>
      <c r="P148">
        <f t="shared" si="44"/>
        <v>1028</v>
      </c>
      <c r="Q148" s="6">
        <f t="shared" si="36"/>
        <v>31</v>
      </c>
      <c r="R148" s="5">
        <f t="shared" si="37"/>
        <v>1113972.9424999999</v>
      </c>
      <c r="T148" s="5">
        <f t="shared" si="38"/>
        <v>0</v>
      </c>
      <c r="U148">
        <f t="shared" si="39"/>
        <v>0</v>
      </c>
      <c r="V148">
        <f t="shared" si="40"/>
        <v>40</v>
      </c>
      <c r="W148" t="str">
        <f t="shared" si="41"/>
        <v xml:space="preserve">SUELDOS                                 </v>
      </c>
      <c r="X148">
        <f t="shared" si="42"/>
        <v>7</v>
      </c>
      <c r="Y148" t="str">
        <f t="shared" si="43"/>
        <v xml:space="preserve"> </v>
      </c>
      <c r="AB148" t="str">
        <f t="shared" si="45"/>
        <v>SUELDOS</v>
      </c>
    </row>
    <row r="149" spans="1:28" x14ac:dyDescent="0.25">
      <c r="A149" s="9">
        <v>5110501</v>
      </c>
      <c r="B149" s="9" t="s">
        <v>25</v>
      </c>
      <c r="C149">
        <v>31</v>
      </c>
      <c r="D149" s="11">
        <v>1113972.9424999999</v>
      </c>
      <c r="E149" s="10"/>
      <c r="F149">
        <v>21140504</v>
      </c>
      <c r="G149" t="s">
        <v>135</v>
      </c>
      <c r="H149">
        <v>1473</v>
      </c>
      <c r="I149">
        <v>1</v>
      </c>
      <c r="L149">
        <v>88888</v>
      </c>
      <c r="M149" s="2">
        <f t="shared" si="34"/>
        <v>148</v>
      </c>
      <c r="N149" s="3">
        <f t="shared" si="35"/>
        <v>43677</v>
      </c>
      <c r="O149" t="s">
        <v>143</v>
      </c>
      <c r="P149">
        <f t="shared" si="44"/>
        <v>1029</v>
      </c>
      <c r="Q149" s="6">
        <f t="shared" si="36"/>
        <v>31</v>
      </c>
      <c r="R149" s="5">
        <f t="shared" si="37"/>
        <v>584581.29480019992</v>
      </c>
      <c r="T149" s="5">
        <f t="shared" si="38"/>
        <v>0</v>
      </c>
      <c r="U149">
        <f t="shared" si="39"/>
        <v>0</v>
      </c>
      <c r="V149">
        <f t="shared" si="40"/>
        <v>40</v>
      </c>
      <c r="W149" t="str">
        <f t="shared" si="41"/>
        <v xml:space="preserve">CARGAS SOCIALES                         </v>
      </c>
      <c r="X149">
        <f t="shared" si="42"/>
        <v>15</v>
      </c>
      <c r="Y149" t="str">
        <f t="shared" si="43"/>
        <v xml:space="preserve"> </v>
      </c>
      <c r="AB149" t="str">
        <f t="shared" si="45"/>
        <v>CARGAS SOCIALES</v>
      </c>
    </row>
    <row r="150" spans="1:28" x14ac:dyDescent="0.25">
      <c r="A150" s="9">
        <v>5110502</v>
      </c>
      <c r="B150" s="9" t="s">
        <v>27</v>
      </c>
      <c r="C150">
        <v>31</v>
      </c>
      <c r="D150" s="11">
        <v>584581.29480019992</v>
      </c>
      <c r="E150" s="12"/>
      <c r="F150">
        <v>21140505</v>
      </c>
      <c r="G150" t="s">
        <v>136</v>
      </c>
      <c r="H150">
        <v>1528</v>
      </c>
      <c r="I150">
        <v>1</v>
      </c>
      <c r="L150">
        <v>88888</v>
      </c>
      <c r="M150" s="2">
        <f t="shared" si="34"/>
        <v>149</v>
      </c>
      <c r="N150" s="3">
        <f t="shared" si="35"/>
        <v>43677</v>
      </c>
      <c r="O150" t="s">
        <v>302</v>
      </c>
      <c r="P150">
        <f t="shared" si="44"/>
        <v>2032</v>
      </c>
      <c r="Q150" s="6">
        <f t="shared" si="36"/>
        <v>31</v>
      </c>
      <c r="R150" s="5">
        <f t="shared" si="37"/>
        <v>634761.66</v>
      </c>
      <c r="T150" s="5">
        <f t="shared" si="38"/>
        <v>0</v>
      </c>
      <c r="U150">
        <f t="shared" si="39"/>
        <v>0</v>
      </c>
      <c r="V150">
        <f t="shared" si="40"/>
        <v>40</v>
      </c>
      <c r="W150" t="str">
        <f t="shared" si="41"/>
        <v xml:space="preserve">SAC                                     </v>
      </c>
      <c r="X150">
        <f t="shared" si="42"/>
        <v>3</v>
      </c>
      <c r="Y150" t="str">
        <f t="shared" si="43"/>
        <v xml:space="preserve"> </v>
      </c>
      <c r="AB150" t="str">
        <f t="shared" si="45"/>
        <v>SAC</v>
      </c>
    </row>
    <row r="151" spans="1:28" x14ac:dyDescent="0.25">
      <c r="A151" s="9">
        <v>5110513</v>
      </c>
      <c r="B151" s="9" t="s">
        <v>274</v>
      </c>
      <c r="C151">
        <v>31</v>
      </c>
      <c r="D151" s="11">
        <v>634761.66</v>
      </c>
      <c r="E151" s="12"/>
      <c r="F151">
        <v>21140506</v>
      </c>
      <c r="G151" t="s">
        <v>137</v>
      </c>
      <c r="H151">
        <v>1601</v>
      </c>
      <c r="I151">
        <v>1</v>
      </c>
      <c r="L151">
        <v>88888</v>
      </c>
      <c r="M151" s="2">
        <f t="shared" ref="M151:M201" si="46">+M150+1</f>
        <v>150</v>
      </c>
      <c r="N151" s="3">
        <f t="shared" ref="N151:N201" si="47">+A$1</f>
        <v>43677</v>
      </c>
      <c r="O151" t="s">
        <v>289</v>
      </c>
      <c r="P151">
        <f t="shared" si="44"/>
        <v>2033</v>
      </c>
      <c r="Q151" s="6">
        <f t="shared" ref="Q151:Q201" si="48">+C152</f>
        <v>31</v>
      </c>
      <c r="R151" s="5">
        <f t="shared" ref="R151:R201" si="49">+D152</f>
        <v>2598.96</v>
      </c>
      <c r="T151" s="5">
        <f t="shared" ref="T151:T201" si="50">+E152</f>
        <v>0</v>
      </c>
      <c r="U151">
        <f t="shared" ref="U151:U201" si="51">LEN(S151)</f>
        <v>0</v>
      </c>
      <c r="V151">
        <f t="shared" ref="V151:V201" si="52">LEN(O151)</f>
        <v>40</v>
      </c>
      <c r="W151" t="str">
        <f t="shared" ref="W151:W201" si="53">AB151 &amp; REPT(" ",(40-X151))</f>
        <v xml:space="preserve">VACACIONES                              </v>
      </c>
      <c r="X151">
        <f t="shared" ref="X151:X201" si="54">LEN(AB151)</f>
        <v>10</v>
      </c>
      <c r="Y151" t="str">
        <f t="shared" ref="Y151:Y201" si="55">S151 &amp; REPT(" ",(1-U151))</f>
        <v xml:space="preserve"> </v>
      </c>
      <c r="AB151" t="str">
        <f t="shared" si="45"/>
        <v>VACACIONES</v>
      </c>
    </row>
    <row r="152" spans="1:28" x14ac:dyDescent="0.25">
      <c r="A152" s="9">
        <v>5110514</v>
      </c>
      <c r="B152" s="9" t="s">
        <v>275</v>
      </c>
      <c r="C152">
        <v>31</v>
      </c>
      <c r="D152" s="11">
        <v>2598.96</v>
      </c>
      <c r="E152" s="12"/>
      <c r="F152">
        <v>21140507</v>
      </c>
      <c r="G152" t="s">
        <v>138</v>
      </c>
      <c r="H152">
        <v>1721</v>
      </c>
      <c r="I152">
        <v>1</v>
      </c>
      <c r="L152">
        <v>88888</v>
      </c>
      <c r="M152" s="2">
        <f t="shared" si="46"/>
        <v>151</v>
      </c>
      <c r="N152" s="3">
        <f t="shared" si="47"/>
        <v>43677</v>
      </c>
      <c r="O152" t="s">
        <v>287</v>
      </c>
      <c r="P152">
        <f t="shared" si="44"/>
        <v>2034</v>
      </c>
      <c r="Q152" s="6">
        <f t="shared" si="48"/>
        <v>31</v>
      </c>
      <c r="R152" s="5">
        <f t="shared" si="49"/>
        <v>13050.797499999999</v>
      </c>
      <c r="T152" s="5">
        <f t="shared" si="50"/>
        <v>0</v>
      </c>
      <c r="U152">
        <f t="shared" si="51"/>
        <v>0</v>
      </c>
      <c r="V152">
        <f t="shared" si="52"/>
        <v>40</v>
      </c>
      <c r="W152" t="str">
        <f t="shared" si="53"/>
        <v xml:space="preserve">BAE                                     </v>
      </c>
      <c r="X152">
        <f t="shared" si="54"/>
        <v>3</v>
      </c>
      <c r="Y152" t="str">
        <f t="shared" si="55"/>
        <v xml:space="preserve"> </v>
      </c>
      <c r="AB152" t="str">
        <f t="shared" si="45"/>
        <v>BAE</v>
      </c>
    </row>
    <row r="153" spans="1:28" x14ac:dyDescent="0.25">
      <c r="A153" s="9">
        <v>5110515</v>
      </c>
      <c r="B153" s="9" t="s">
        <v>276</v>
      </c>
      <c r="C153">
        <v>31</v>
      </c>
      <c r="D153" s="11">
        <v>13050.797499999999</v>
      </c>
      <c r="E153" s="12"/>
      <c r="F153">
        <v>51140402</v>
      </c>
      <c r="G153" t="s">
        <v>139</v>
      </c>
      <c r="H153">
        <v>182</v>
      </c>
      <c r="I153">
        <v>1</v>
      </c>
      <c r="L153">
        <v>88888</v>
      </c>
      <c r="M153" s="2">
        <f t="shared" si="46"/>
        <v>152</v>
      </c>
      <c r="N153" s="3">
        <f t="shared" si="47"/>
        <v>43677</v>
      </c>
      <c r="O153" t="s">
        <v>288</v>
      </c>
      <c r="P153">
        <f t="shared" si="44"/>
        <v>2035</v>
      </c>
      <c r="Q153" s="6">
        <f t="shared" si="48"/>
        <v>31</v>
      </c>
      <c r="R153" s="5">
        <f t="shared" si="49"/>
        <v>34223.629999999997</v>
      </c>
      <c r="T153" s="5">
        <f t="shared" si="50"/>
        <v>0</v>
      </c>
      <c r="U153">
        <f t="shared" si="51"/>
        <v>0</v>
      </c>
      <c r="V153">
        <f t="shared" si="52"/>
        <v>40</v>
      </c>
      <c r="W153" t="str">
        <f t="shared" si="53"/>
        <v xml:space="preserve">HORAS EXTRAS                            </v>
      </c>
      <c r="X153">
        <f t="shared" si="54"/>
        <v>12</v>
      </c>
      <c r="Y153" t="str">
        <f t="shared" si="55"/>
        <v xml:space="preserve"> </v>
      </c>
      <c r="AB153" t="str">
        <f t="shared" si="45"/>
        <v>HORAS EXTRAS</v>
      </c>
    </row>
    <row r="154" spans="1:28" x14ac:dyDescent="0.25">
      <c r="A154" s="9">
        <v>5110516</v>
      </c>
      <c r="B154" s="9" t="s">
        <v>277</v>
      </c>
      <c r="C154">
        <v>31</v>
      </c>
      <c r="D154" s="11">
        <v>34223.629999999997</v>
      </c>
      <c r="E154" s="12"/>
      <c r="L154">
        <v>88888</v>
      </c>
      <c r="M154" s="2">
        <f t="shared" si="46"/>
        <v>153</v>
      </c>
      <c r="N154" s="3">
        <f t="shared" si="47"/>
        <v>43677</v>
      </c>
      <c r="O154" t="s">
        <v>204</v>
      </c>
      <c r="P154">
        <f t="shared" si="44"/>
        <v>1081</v>
      </c>
      <c r="Q154" s="6">
        <f t="shared" si="48"/>
        <v>31</v>
      </c>
      <c r="R154" s="5">
        <f t="shared" si="49"/>
        <v>8605.49</v>
      </c>
      <c r="T154" s="5">
        <f t="shared" si="50"/>
        <v>0</v>
      </c>
      <c r="U154">
        <f t="shared" si="51"/>
        <v>0</v>
      </c>
      <c r="V154">
        <f t="shared" si="52"/>
        <v>40</v>
      </c>
      <c r="W154" t="str">
        <f t="shared" si="53"/>
        <v xml:space="preserve">OTROS GASTOS EN PERSONAL                </v>
      </c>
      <c r="X154">
        <f t="shared" si="54"/>
        <v>24</v>
      </c>
      <c r="Y154" t="str">
        <f t="shared" si="55"/>
        <v xml:space="preserve"> </v>
      </c>
      <c r="AB154" t="str">
        <f t="shared" si="45"/>
        <v>OTROS GASTOS EN PERSONAL</v>
      </c>
    </row>
    <row r="155" spans="1:28" x14ac:dyDescent="0.25">
      <c r="A155" s="9">
        <v>5111501</v>
      </c>
      <c r="B155" s="9" t="s">
        <v>32</v>
      </c>
      <c r="C155">
        <v>31</v>
      </c>
      <c r="D155" s="11">
        <v>8605.49</v>
      </c>
      <c r="E155" s="10"/>
      <c r="L155">
        <v>88888</v>
      </c>
      <c r="M155" s="2">
        <f t="shared" si="46"/>
        <v>154</v>
      </c>
      <c r="N155" s="3">
        <f t="shared" si="47"/>
        <v>43677</v>
      </c>
      <c r="O155" t="s">
        <v>203</v>
      </c>
      <c r="P155">
        <f t="shared" si="44"/>
        <v>1028</v>
      </c>
      <c r="Q155" s="6">
        <f t="shared" si="48"/>
        <v>32</v>
      </c>
      <c r="R155" s="5">
        <f t="shared" si="49"/>
        <v>403576.39</v>
      </c>
      <c r="T155" s="5">
        <f t="shared" si="50"/>
        <v>0</v>
      </c>
      <c r="U155">
        <f t="shared" si="51"/>
        <v>0</v>
      </c>
      <c r="V155">
        <f t="shared" si="52"/>
        <v>40</v>
      </c>
      <c r="W155" t="str">
        <f t="shared" si="53"/>
        <v xml:space="preserve">SUELDOS                                 </v>
      </c>
      <c r="X155">
        <f t="shared" si="54"/>
        <v>7</v>
      </c>
      <c r="Y155" t="str">
        <f t="shared" si="55"/>
        <v xml:space="preserve"> </v>
      </c>
      <c r="AB155" t="str">
        <f t="shared" si="45"/>
        <v>SUELDOS</v>
      </c>
    </row>
    <row r="156" spans="1:28" x14ac:dyDescent="0.25">
      <c r="A156" s="9">
        <v>5110501</v>
      </c>
      <c r="B156" s="9" t="s">
        <v>25</v>
      </c>
      <c r="C156">
        <v>32</v>
      </c>
      <c r="D156" s="11">
        <v>403576.39</v>
      </c>
      <c r="E156" s="10"/>
      <c r="L156">
        <v>88888</v>
      </c>
      <c r="M156" s="2">
        <f t="shared" si="46"/>
        <v>155</v>
      </c>
      <c r="N156" s="3">
        <f t="shared" si="47"/>
        <v>43677</v>
      </c>
      <c r="O156" t="s">
        <v>143</v>
      </c>
      <c r="P156">
        <f t="shared" si="44"/>
        <v>1029</v>
      </c>
      <c r="Q156" s="6">
        <f t="shared" si="48"/>
        <v>32</v>
      </c>
      <c r="R156" s="5">
        <f t="shared" si="49"/>
        <v>178647.10407260002</v>
      </c>
      <c r="T156" s="5">
        <f t="shared" si="50"/>
        <v>0</v>
      </c>
      <c r="U156">
        <f t="shared" si="51"/>
        <v>0</v>
      </c>
      <c r="V156">
        <f t="shared" si="52"/>
        <v>40</v>
      </c>
      <c r="W156" t="str">
        <f t="shared" si="53"/>
        <v xml:space="preserve">CARGAS SOCIALES                         </v>
      </c>
      <c r="X156">
        <f t="shared" si="54"/>
        <v>15</v>
      </c>
      <c r="Y156" t="str">
        <f t="shared" si="55"/>
        <v xml:space="preserve"> </v>
      </c>
      <c r="AB156" t="str">
        <f t="shared" si="45"/>
        <v>CARGAS SOCIALES</v>
      </c>
    </row>
    <row r="157" spans="1:28" x14ac:dyDescent="0.25">
      <c r="A157" s="9">
        <v>5110502</v>
      </c>
      <c r="B157" s="9" t="s">
        <v>27</v>
      </c>
      <c r="C157">
        <v>32</v>
      </c>
      <c r="D157" s="11">
        <v>178647.10407260002</v>
      </c>
      <c r="E157" s="10"/>
      <c r="L157">
        <v>88888</v>
      </c>
      <c r="M157" s="2">
        <f t="shared" si="46"/>
        <v>156</v>
      </c>
      <c r="N157" s="3">
        <f t="shared" si="47"/>
        <v>43677</v>
      </c>
      <c r="O157" t="s">
        <v>302</v>
      </c>
      <c r="P157">
        <f t="shared" si="44"/>
        <v>2032</v>
      </c>
      <c r="Q157" s="6">
        <f t="shared" si="48"/>
        <v>32</v>
      </c>
      <c r="R157" s="5">
        <f t="shared" si="49"/>
        <v>210105.76</v>
      </c>
      <c r="T157" s="5">
        <f t="shared" si="50"/>
        <v>0</v>
      </c>
      <c r="U157">
        <f t="shared" si="51"/>
        <v>0</v>
      </c>
      <c r="V157">
        <f t="shared" si="52"/>
        <v>40</v>
      </c>
      <c r="W157" t="str">
        <f t="shared" si="53"/>
        <v xml:space="preserve">SAC                                     </v>
      </c>
      <c r="X157">
        <f t="shared" si="54"/>
        <v>3</v>
      </c>
      <c r="Y157" t="str">
        <f t="shared" si="55"/>
        <v xml:space="preserve"> </v>
      </c>
      <c r="AB157" t="str">
        <f t="shared" si="45"/>
        <v>SAC</v>
      </c>
    </row>
    <row r="158" spans="1:28" x14ac:dyDescent="0.25">
      <c r="A158" s="9">
        <v>5110513</v>
      </c>
      <c r="B158" s="9" t="s">
        <v>274</v>
      </c>
      <c r="C158">
        <v>32</v>
      </c>
      <c r="D158" s="11">
        <v>210105.76</v>
      </c>
      <c r="E158" s="10"/>
      <c r="L158">
        <v>88888</v>
      </c>
      <c r="M158" s="2">
        <f t="shared" si="46"/>
        <v>157</v>
      </c>
      <c r="N158" s="3">
        <f t="shared" si="47"/>
        <v>43677</v>
      </c>
      <c r="O158" t="s">
        <v>288</v>
      </c>
      <c r="P158">
        <f t="shared" si="44"/>
        <v>2035</v>
      </c>
      <c r="Q158" s="6">
        <f t="shared" si="48"/>
        <v>32</v>
      </c>
      <c r="R158" s="5">
        <f t="shared" si="49"/>
        <v>4246.17</v>
      </c>
      <c r="T158" s="5">
        <f t="shared" si="50"/>
        <v>0</v>
      </c>
      <c r="U158">
        <f t="shared" si="51"/>
        <v>0</v>
      </c>
      <c r="V158">
        <f t="shared" si="52"/>
        <v>40</v>
      </c>
      <c r="W158" t="str">
        <f t="shared" si="53"/>
        <v xml:space="preserve">HORAS EXTRAS                            </v>
      </c>
      <c r="X158">
        <f t="shared" si="54"/>
        <v>12</v>
      </c>
      <c r="Y158" t="str">
        <f t="shared" si="55"/>
        <v xml:space="preserve"> </v>
      </c>
      <c r="AB158" t="str">
        <f t="shared" si="45"/>
        <v>HORAS EXTRAS</v>
      </c>
    </row>
    <row r="159" spans="1:28" x14ac:dyDescent="0.25">
      <c r="A159" s="9">
        <v>5110516</v>
      </c>
      <c r="B159" s="9" t="s">
        <v>277</v>
      </c>
      <c r="C159">
        <v>32</v>
      </c>
      <c r="D159" s="11">
        <v>4246.17</v>
      </c>
      <c r="E159" s="12"/>
      <c r="L159">
        <v>88888</v>
      </c>
      <c r="M159" s="2">
        <f t="shared" si="46"/>
        <v>158</v>
      </c>
      <c r="N159" s="3">
        <f t="shared" si="47"/>
        <v>43677</v>
      </c>
      <c r="O159" t="s">
        <v>204</v>
      </c>
      <c r="P159">
        <f t="shared" si="44"/>
        <v>1081</v>
      </c>
      <c r="Q159" s="6">
        <f t="shared" si="48"/>
        <v>32</v>
      </c>
      <c r="R159" s="5">
        <f t="shared" si="49"/>
        <v>4300.3999999999996</v>
      </c>
      <c r="T159" s="5">
        <f t="shared" si="50"/>
        <v>0</v>
      </c>
      <c r="U159">
        <f t="shared" si="51"/>
        <v>0</v>
      </c>
      <c r="V159">
        <f t="shared" si="52"/>
        <v>40</v>
      </c>
      <c r="W159" t="str">
        <f t="shared" si="53"/>
        <v xml:space="preserve">OTROS GASTOS EN PERSONAL                </v>
      </c>
      <c r="X159">
        <f t="shared" si="54"/>
        <v>24</v>
      </c>
      <c r="Y159" t="str">
        <f t="shared" si="55"/>
        <v xml:space="preserve"> </v>
      </c>
      <c r="AB159" t="str">
        <f t="shared" si="45"/>
        <v>OTROS GASTOS EN PERSONAL</v>
      </c>
    </row>
    <row r="160" spans="1:28" x14ac:dyDescent="0.25">
      <c r="A160" s="9">
        <v>5111501</v>
      </c>
      <c r="B160" s="9" t="s">
        <v>32</v>
      </c>
      <c r="C160">
        <v>32</v>
      </c>
      <c r="D160" s="11">
        <v>4300.3999999999996</v>
      </c>
      <c r="E160" s="12"/>
      <c r="G160" t="s">
        <v>150</v>
      </c>
      <c r="L160">
        <v>88888</v>
      </c>
      <c r="M160" s="2">
        <f t="shared" si="46"/>
        <v>159</v>
      </c>
      <c r="N160" s="3">
        <f t="shared" si="47"/>
        <v>43677</v>
      </c>
      <c r="O160" t="s">
        <v>203</v>
      </c>
      <c r="P160">
        <f t="shared" si="44"/>
        <v>1028</v>
      </c>
      <c r="Q160" s="6">
        <f t="shared" si="48"/>
        <v>34</v>
      </c>
      <c r="R160" s="5">
        <f t="shared" si="49"/>
        <v>720525.02</v>
      </c>
      <c r="T160" s="5">
        <f t="shared" si="50"/>
        <v>0</v>
      </c>
      <c r="U160">
        <f t="shared" si="51"/>
        <v>0</v>
      </c>
      <c r="V160">
        <f t="shared" si="52"/>
        <v>40</v>
      </c>
      <c r="W160" t="str">
        <f t="shared" si="53"/>
        <v xml:space="preserve">SUELDOS                                 </v>
      </c>
      <c r="X160">
        <f t="shared" si="54"/>
        <v>7</v>
      </c>
      <c r="Y160" t="str">
        <f t="shared" si="55"/>
        <v xml:space="preserve"> </v>
      </c>
      <c r="AB160" t="str">
        <f t="shared" si="45"/>
        <v>SUELDOS</v>
      </c>
    </row>
    <row r="161" spans="1:28" x14ac:dyDescent="0.25">
      <c r="A161" s="9">
        <v>5110501</v>
      </c>
      <c r="B161" s="9" t="s">
        <v>25</v>
      </c>
      <c r="C161">
        <v>34</v>
      </c>
      <c r="D161" s="11">
        <v>720525.02</v>
      </c>
      <c r="E161" s="12"/>
      <c r="L161">
        <v>88888</v>
      </c>
      <c r="M161" s="2">
        <f t="shared" si="46"/>
        <v>160</v>
      </c>
      <c r="N161" s="3">
        <f t="shared" si="47"/>
        <v>43677</v>
      </c>
      <c r="O161" t="s">
        <v>143</v>
      </c>
      <c r="P161">
        <f t="shared" si="44"/>
        <v>1029</v>
      </c>
      <c r="Q161" s="6">
        <f t="shared" si="48"/>
        <v>34</v>
      </c>
      <c r="R161" s="5">
        <f t="shared" si="49"/>
        <v>429095.27443659998</v>
      </c>
      <c r="T161" s="5">
        <f t="shared" si="50"/>
        <v>0</v>
      </c>
      <c r="U161">
        <f t="shared" si="51"/>
        <v>0</v>
      </c>
      <c r="V161">
        <f t="shared" si="52"/>
        <v>40</v>
      </c>
      <c r="W161" t="str">
        <f t="shared" si="53"/>
        <v xml:space="preserve">CARGAS SOCIALES                         </v>
      </c>
      <c r="X161">
        <f t="shared" si="54"/>
        <v>15</v>
      </c>
      <c r="Y161" t="str">
        <f t="shared" si="55"/>
        <v xml:space="preserve"> </v>
      </c>
      <c r="AB161" t="str">
        <f t="shared" si="45"/>
        <v>CARGAS SOCIALES</v>
      </c>
    </row>
    <row r="162" spans="1:28" x14ac:dyDescent="0.25">
      <c r="A162" s="9">
        <v>5110502</v>
      </c>
      <c r="B162" s="9" t="s">
        <v>27</v>
      </c>
      <c r="C162">
        <v>34</v>
      </c>
      <c r="D162" s="11">
        <v>429095.27443659998</v>
      </c>
      <c r="E162" s="10"/>
      <c r="L162">
        <v>88888</v>
      </c>
      <c r="M162" s="2">
        <f t="shared" si="46"/>
        <v>161</v>
      </c>
      <c r="N162" s="3">
        <f t="shared" si="47"/>
        <v>43677</v>
      </c>
      <c r="O162" t="s">
        <v>302</v>
      </c>
      <c r="P162">
        <f t="shared" si="44"/>
        <v>2032</v>
      </c>
      <c r="Q162" s="6">
        <f t="shared" si="48"/>
        <v>34</v>
      </c>
      <c r="R162" s="5">
        <f t="shared" si="49"/>
        <v>419039.35</v>
      </c>
      <c r="T162" s="5">
        <f t="shared" si="50"/>
        <v>0</v>
      </c>
      <c r="U162">
        <f t="shared" si="51"/>
        <v>0</v>
      </c>
      <c r="V162">
        <f t="shared" si="52"/>
        <v>40</v>
      </c>
      <c r="W162" t="str">
        <f t="shared" si="53"/>
        <v xml:space="preserve">SAC                                     </v>
      </c>
      <c r="X162">
        <f t="shared" si="54"/>
        <v>3</v>
      </c>
      <c r="Y162" t="str">
        <f t="shared" si="55"/>
        <v xml:space="preserve"> </v>
      </c>
      <c r="AB162" t="str">
        <f t="shared" si="45"/>
        <v>SAC</v>
      </c>
    </row>
    <row r="163" spans="1:28" x14ac:dyDescent="0.25">
      <c r="A163" s="9">
        <v>5110513</v>
      </c>
      <c r="B163" s="9" t="s">
        <v>274</v>
      </c>
      <c r="C163">
        <v>34</v>
      </c>
      <c r="D163" s="11">
        <v>419039.35</v>
      </c>
      <c r="E163" s="10"/>
      <c r="L163">
        <v>88888</v>
      </c>
      <c r="M163" s="2">
        <f t="shared" si="46"/>
        <v>162</v>
      </c>
      <c r="N163" s="3">
        <f t="shared" si="47"/>
        <v>43677</v>
      </c>
      <c r="O163" t="s">
        <v>289</v>
      </c>
      <c r="P163">
        <f t="shared" si="44"/>
        <v>2033</v>
      </c>
      <c r="Q163" s="6">
        <f t="shared" si="48"/>
        <v>34</v>
      </c>
      <c r="R163" s="5">
        <f t="shared" si="49"/>
        <v>62936.3</v>
      </c>
      <c r="T163" s="5">
        <f t="shared" si="50"/>
        <v>0</v>
      </c>
      <c r="U163">
        <f t="shared" si="51"/>
        <v>0</v>
      </c>
      <c r="V163">
        <f t="shared" si="52"/>
        <v>40</v>
      </c>
      <c r="W163" t="str">
        <f t="shared" si="53"/>
        <v xml:space="preserve">VACACIONES                              </v>
      </c>
      <c r="X163">
        <f t="shared" si="54"/>
        <v>10</v>
      </c>
      <c r="Y163" t="str">
        <f t="shared" si="55"/>
        <v xml:space="preserve"> </v>
      </c>
      <c r="AB163" t="str">
        <f t="shared" si="45"/>
        <v>VACACIONES</v>
      </c>
    </row>
    <row r="164" spans="1:28" x14ac:dyDescent="0.25">
      <c r="A164" s="9">
        <v>5110514</v>
      </c>
      <c r="B164" s="9" t="s">
        <v>275</v>
      </c>
      <c r="C164">
        <v>34</v>
      </c>
      <c r="D164" s="11">
        <v>62936.3</v>
      </c>
      <c r="E164" s="10"/>
      <c r="L164">
        <v>88888</v>
      </c>
      <c r="M164" s="2">
        <f t="shared" si="46"/>
        <v>163</v>
      </c>
      <c r="N164" s="3">
        <f t="shared" si="47"/>
        <v>43677</v>
      </c>
      <c r="O164" t="s">
        <v>204</v>
      </c>
      <c r="P164">
        <f t="shared" si="44"/>
        <v>1081</v>
      </c>
      <c r="Q164" s="6">
        <f t="shared" si="48"/>
        <v>34</v>
      </c>
      <c r="R164" s="5">
        <f t="shared" si="49"/>
        <v>8601.76</v>
      </c>
      <c r="T164" s="5">
        <f t="shared" si="50"/>
        <v>0</v>
      </c>
      <c r="U164">
        <f t="shared" si="51"/>
        <v>0</v>
      </c>
      <c r="V164">
        <f t="shared" si="52"/>
        <v>40</v>
      </c>
      <c r="W164" t="str">
        <f t="shared" si="53"/>
        <v xml:space="preserve">OTROS GASTOS EN PERSONAL                </v>
      </c>
      <c r="X164">
        <f t="shared" si="54"/>
        <v>24</v>
      </c>
      <c r="Y164" t="str">
        <f t="shared" si="55"/>
        <v xml:space="preserve"> </v>
      </c>
      <c r="AB164" t="str">
        <f t="shared" si="45"/>
        <v>OTROS GASTOS EN PERSONAL</v>
      </c>
    </row>
    <row r="165" spans="1:28" x14ac:dyDescent="0.25">
      <c r="A165" s="9">
        <v>5111501</v>
      </c>
      <c r="B165" s="9" t="s">
        <v>32</v>
      </c>
      <c r="C165">
        <v>34</v>
      </c>
      <c r="D165" s="11">
        <v>8601.76</v>
      </c>
      <c r="E165" s="12"/>
      <c r="L165">
        <v>88888</v>
      </c>
      <c r="M165" s="2">
        <f t="shared" si="46"/>
        <v>164</v>
      </c>
      <c r="N165" s="3">
        <f t="shared" si="47"/>
        <v>43677</v>
      </c>
      <c r="O165" t="s">
        <v>203</v>
      </c>
      <c r="P165">
        <f t="shared" si="44"/>
        <v>1028</v>
      </c>
      <c r="Q165" s="6">
        <f t="shared" si="48"/>
        <v>35</v>
      </c>
      <c r="R165" s="5">
        <f t="shared" si="49"/>
        <v>385492.74</v>
      </c>
      <c r="T165" s="5">
        <f t="shared" si="50"/>
        <v>0</v>
      </c>
      <c r="U165">
        <f t="shared" si="51"/>
        <v>0</v>
      </c>
      <c r="V165">
        <f t="shared" si="52"/>
        <v>40</v>
      </c>
      <c r="W165" t="str">
        <f t="shared" si="53"/>
        <v xml:space="preserve">SUELDOS                                 </v>
      </c>
      <c r="X165">
        <f t="shared" si="54"/>
        <v>7</v>
      </c>
      <c r="Y165" t="str">
        <f t="shared" si="55"/>
        <v xml:space="preserve"> </v>
      </c>
      <c r="AB165" t="str">
        <f t="shared" si="45"/>
        <v>SUELDOS</v>
      </c>
    </row>
    <row r="166" spans="1:28" x14ac:dyDescent="0.25">
      <c r="A166" s="9">
        <v>5110501</v>
      </c>
      <c r="B166" s="9" t="s">
        <v>25</v>
      </c>
      <c r="C166">
        <v>35</v>
      </c>
      <c r="D166" s="11">
        <v>385492.74</v>
      </c>
      <c r="E166" s="12"/>
      <c r="L166">
        <v>88888</v>
      </c>
      <c r="M166" s="2">
        <f t="shared" si="46"/>
        <v>165</v>
      </c>
      <c r="N166" s="3">
        <f t="shared" si="47"/>
        <v>43677</v>
      </c>
      <c r="O166" t="s">
        <v>143</v>
      </c>
      <c r="P166">
        <f t="shared" si="44"/>
        <v>1029</v>
      </c>
      <c r="Q166" s="6">
        <f t="shared" si="48"/>
        <v>35</v>
      </c>
      <c r="R166" s="5">
        <f t="shared" si="49"/>
        <v>209663.39303420001</v>
      </c>
      <c r="T166" s="5">
        <f t="shared" si="50"/>
        <v>0</v>
      </c>
      <c r="U166">
        <f t="shared" si="51"/>
        <v>0</v>
      </c>
      <c r="V166">
        <f t="shared" si="52"/>
        <v>40</v>
      </c>
      <c r="W166" t="str">
        <f t="shared" si="53"/>
        <v xml:space="preserve">CARGAS SOCIALES                         </v>
      </c>
      <c r="X166">
        <f t="shared" si="54"/>
        <v>15</v>
      </c>
      <c r="Y166" t="str">
        <f t="shared" si="55"/>
        <v xml:space="preserve"> </v>
      </c>
      <c r="AB166" t="str">
        <f t="shared" si="45"/>
        <v>CARGAS SOCIALES</v>
      </c>
    </row>
    <row r="167" spans="1:28" x14ac:dyDescent="0.25">
      <c r="A167" s="9">
        <v>5110502</v>
      </c>
      <c r="B167" s="9" t="s">
        <v>27</v>
      </c>
      <c r="C167">
        <v>35</v>
      </c>
      <c r="D167" s="11">
        <v>209663.39303420001</v>
      </c>
      <c r="E167" s="12"/>
      <c r="L167">
        <v>88888</v>
      </c>
      <c r="M167" s="2">
        <f t="shared" si="46"/>
        <v>166</v>
      </c>
      <c r="N167" s="3">
        <f t="shared" si="47"/>
        <v>43677</v>
      </c>
      <c r="O167" t="s">
        <v>302</v>
      </c>
      <c r="P167">
        <f t="shared" si="44"/>
        <v>2032</v>
      </c>
      <c r="Q167" s="6">
        <f t="shared" si="48"/>
        <v>35</v>
      </c>
      <c r="R167" s="5">
        <f t="shared" si="49"/>
        <v>239308.58</v>
      </c>
      <c r="T167" s="5">
        <f t="shared" si="50"/>
        <v>0</v>
      </c>
      <c r="U167">
        <f t="shared" si="51"/>
        <v>0</v>
      </c>
      <c r="V167">
        <f t="shared" si="52"/>
        <v>40</v>
      </c>
      <c r="W167" t="str">
        <f t="shared" si="53"/>
        <v xml:space="preserve">SAC                                     </v>
      </c>
      <c r="X167">
        <f t="shared" si="54"/>
        <v>3</v>
      </c>
      <c r="Y167" t="str">
        <f t="shared" si="55"/>
        <v xml:space="preserve"> </v>
      </c>
      <c r="AB167" t="str">
        <f t="shared" si="45"/>
        <v>SAC</v>
      </c>
    </row>
    <row r="168" spans="1:28" x14ac:dyDescent="0.25">
      <c r="A168" s="9">
        <v>5110513</v>
      </c>
      <c r="B168" s="9" t="s">
        <v>274</v>
      </c>
      <c r="C168">
        <v>35</v>
      </c>
      <c r="D168" s="11">
        <v>239308.58</v>
      </c>
      <c r="E168" s="11"/>
      <c r="L168">
        <v>88888</v>
      </c>
      <c r="M168" s="2">
        <f t="shared" si="46"/>
        <v>167</v>
      </c>
      <c r="N168" s="3">
        <f t="shared" si="47"/>
        <v>43677</v>
      </c>
      <c r="O168" t="s">
        <v>288</v>
      </c>
      <c r="P168">
        <f t="shared" si="44"/>
        <v>2035</v>
      </c>
      <c r="Q168" s="6">
        <f t="shared" si="48"/>
        <v>35</v>
      </c>
      <c r="R168" s="5">
        <f t="shared" si="49"/>
        <v>50958.97</v>
      </c>
      <c r="T168" s="5">
        <f t="shared" si="50"/>
        <v>0</v>
      </c>
      <c r="U168">
        <f t="shared" si="51"/>
        <v>0</v>
      </c>
      <c r="V168">
        <f t="shared" si="52"/>
        <v>40</v>
      </c>
      <c r="W168" t="str">
        <f t="shared" si="53"/>
        <v xml:space="preserve">HORAS EXTRAS                            </v>
      </c>
      <c r="X168">
        <f t="shared" si="54"/>
        <v>12</v>
      </c>
      <c r="Y168" t="str">
        <f t="shared" si="55"/>
        <v xml:space="preserve"> </v>
      </c>
      <c r="AB168" t="str">
        <f t="shared" si="45"/>
        <v>HORAS EXTRAS</v>
      </c>
    </row>
    <row r="169" spans="1:28" x14ac:dyDescent="0.25">
      <c r="A169" s="9">
        <v>5110516</v>
      </c>
      <c r="B169" s="9" t="s">
        <v>277</v>
      </c>
      <c r="C169">
        <v>35</v>
      </c>
      <c r="D169" s="11">
        <v>50958.97</v>
      </c>
      <c r="E169" s="10"/>
      <c r="L169">
        <v>88888</v>
      </c>
      <c r="M169" s="2">
        <f t="shared" si="46"/>
        <v>168</v>
      </c>
      <c r="N169" s="3">
        <f t="shared" si="47"/>
        <v>43677</v>
      </c>
      <c r="O169" t="s">
        <v>204</v>
      </c>
      <c r="P169">
        <f t="shared" si="44"/>
        <v>1081</v>
      </c>
      <c r="Q169" s="6">
        <f t="shared" si="48"/>
        <v>35</v>
      </c>
      <c r="R169" s="5">
        <f t="shared" si="49"/>
        <v>3</v>
      </c>
      <c r="T169" s="5">
        <f t="shared" si="50"/>
        <v>0</v>
      </c>
      <c r="U169">
        <f t="shared" si="51"/>
        <v>0</v>
      </c>
      <c r="V169">
        <f t="shared" si="52"/>
        <v>40</v>
      </c>
      <c r="W169" t="str">
        <f t="shared" si="53"/>
        <v xml:space="preserve">OTROS GASTOS EN PERSONAL                </v>
      </c>
      <c r="X169">
        <f t="shared" si="54"/>
        <v>24</v>
      </c>
      <c r="Y169" t="str">
        <f t="shared" si="55"/>
        <v xml:space="preserve"> </v>
      </c>
      <c r="AB169" t="str">
        <f t="shared" si="45"/>
        <v>OTROS GASTOS EN PERSONAL</v>
      </c>
    </row>
    <row r="170" spans="1:28" x14ac:dyDescent="0.25">
      <c r="A170" s="9">
        <v>5111501</v>
      </c>
      <c r="B170" s="9" t="s">
        <v>32</v>
      </c>
      <c r="C170">
        <v>35</v>
      </c>
      <c r="D170" s="11">
        <v>3</v>
      </c>
      <c r="E170" s="10"/>
      <c r="L170">
        <v>88888</v>
      </c>
      <c r="M170" s="2">
        <f t="shared" si="46"/>
        <v>169</v>
      </c>
      <c r="N170" s="3">
        <f t="shared" si="47"/>
        <v>43677</v>
      </c>
      <c r="O170" t="s">
        <v>203</v>
      </c>
      <c r="P170">
        <f t="shared" si="44"/>
        <v>1028</v>
      </c>
      <c r="Q170" s="6">
        <f t="shared" si="48"/>
        <v>36</v>
      </c>
      <c r="R170" s="5">
        <f t="shared" si="49"/>
        <v>394961.13166666671</v>
      </c>
      <c r="T170" s="5">
        <f t="shared" si="50"/>
        <v>0</v>
      </c>
      <c r="U170">
        <f t="shared" si="51"/>
        <v>0</v>
      </c>
      <c r="V170">
        <f t="shared" si="52"/>
        <v>40</v>
      </c>
      <c r="W170" t="str">
        <f t="shared" si="53"/>
        <v xml:space="preserve">SUELDOS                                 </v>
      </c>
      <c r="X170">
        <f t="shared" si="54"/>
        <v>7</v>
      </c>
      <c r="Y170" t="str">
        <f t="shared" si="55"/>
        <v xml:space="preserve"> </v>
      </c>
      <c r="AB170" t="str">
        <f t="shared" si="45"/>
        <v>SUELDOS</v>
      </c>
    </row>
    <row r="171" spans="1:28" x14ac:dyDescent="0.25">
      <c r="A171" s="9">
        <v>5110501</v>
      </c>
      <c r="B171" s="9" t="s">
        <v>25</v>
      </c>
      <c r="C171">
        <v>36</v>
      </c>
      <c r="D171" s="11">
        <v>394961.13166666671</v>
      </c>
      <c r="E171" s="12"/>
      <c r="L171">
        <v>88888</v>
      </c>
      <c r="M171" s="2">
        <f t="shared" si="46"/>
        <v>170</v>
      </c>
      <c r="N171" s="3">
        <f t="shared" si="47"/>
        <v>43677</v>
      </c>
      <c r="O171" t="s">
        <v>143</v>
      </c>
      <c r="P171">
        <f t="shared" si="44"/>
        <v>1029</v>
      </c>
      <c r="Q171" s="6">
        <f t="shared" si="48"/>
        <v>36</v>
      </c>
      <c r="R171" s="5">
        <f t="shared" si="49"/>
        <v>307595.97494119999</v>
      </c>
      <c r="T171" s="5">
        <f t="shared" si="50"/>
        <v>0</v>
      </c>
      <c r="U171">
        <f t="shared" si="51"/>
        <v>0</v>
      </c>
      <c r="V171">
        <f t="shared" si="52"/>
        <v>40</v>
      </c>
      <c r="W171" t="str">
        <f t="shared" si="53"/>
        <v xml:space="preserve">CARGAS SOCIALES                         </v>
      </c>
      <c r="X171">
        <f t="shared" si="54"/>
        <v>15</v>
      </c>
      <c r="Y171" t="str">
        <f t="shared" si="55"/>
        <v xml:space="preserve"> </v>
      </c>
      <c r="AB171" t="str">
        <f t="shared" si="45"/>
        <v>CARGAS SOCIALES</v>
      </c>
    </row>
    <row r="172" spans="1:28" x14ac:dyDescent="0.25">
      <c r="A172" s="9">
        <v>5110502</v>
      </c>
      <c r="B172" s="9" t="s">
        <v>27</v>
      </c>
      <c r="C172">
        <v>36</v>
      </c>
      <c r="D172" s="11">
        <v>307595.97494119999</v>
      </c>
      <c r="E172" s="12"/>
      <c r="L172">
        <v>88888</v>
      </c>
      <c r="M172" s="2">
        <f t="shared" si="46"/>
        <v>171</v>
      </c>
      <c r="N172" s="3">
        <f t="shared" si="47"/>
        <v>43677</v>
      </c>
      <c r="O172" t="s">
        <v>302</v>
      </c>
      <c r="P172">
        <f t="shared" si="44"/>
        <v>2032</v>
      </c>
      <c r="Q172" s="6">
        <f t="shared" si="48"/>
        <v>36</v>
      </c>
      <c r="R172" s="5">
        <f t="shared" si="49"/>
        <v>213095.58</v>
      </c>
      <c r="T172" s="5">
        <f t="shared" si="50"/>
        <v>0</v>
      </c>
      <c r="U172">
        <f t="shared" si="51"/>
        <v>0</v>
      </c>
      <c r="V172">
        <f t="shared" si="52"/>
        <v>40</v>
      </c>
      <c r="W172" t="str">
        <f t="shared" si="53"/>
        <v xml:space="preserve">SAC                                     </v>
      </c>
      <c r="X172">
        <f t="shared" si="54"/>
        <v>3</v>
      </c>
      <c r="Y172" t="str">
        <f t="shared" si="55"/>
        <v xml:space="preserve"> </v>
      </c>
      <c r="AB172" t="str">
        <f t="shared" si="45"/>
        <v>SAC</v>
      </c>
    </row>
    <row r="173" spans="1:28" x14ac:dyDescent="0.25">
      <c r="A173" s="9">
        <v>5110513</v>
      </c>
      <c r="B173" s="9" t="s">
        <v>274</v>
      </c>
      <c r="C173">
        <v>36</v>
      </c>
      <c r="D173" s="11">
        <v>213095.58</v>
      </c>
      <c r="E173" s="10"/>
      <c r="L173">
        <v>88888</v>
      </c>
      <c r="M173" s="2">
        <f t="shared" si="46"/>
        <v>172</v>
      </c>
      <c r="N173" s="3">
        <f t="shared" si="47"/>
        <v>43677</v>
      </c>
      <c r="O173" t="s">
        <v>287</v>
      </c>
      <c r="P173">
        <f t="shared" si="44"/>
        <v>2034</v>
      </c>
      <c r="Q173" s="6">
        <f t="shared" si="48"/>
        <v>36</v>
      </c>
      <c r="R173" s="5">
        <f t="shared" si="49"/>
        <v>291947.08833333332</v>
      </c>
      <c r="T173" s="5">
        <f t="shared" si="50"/>
        <v>0</v>
      </c>
      <c r="U173">
        <f t="shared" si="51"/>
        <v>0</v>
      </c>
      <c r="V173">
        <f t="shared" si="52"/>
        <v>40</v>
      </c>
      <c r="W173" t="str">
        <f t="shared" si="53"/>
        <v xml:space="preserve">BAE                                     </v>
      </c>
      <c r="X173">
        <f t="shared" si="54"/>
        <v>3</v>
      </c>
      <c r="Y173" t="str">
        <f t="shared" si="55"/>
        <v xml:space="preserve"> </v>
      </c>
      <c r="AB173" t="str">
        <f t="shared" si="45"/>
        <v>BAE</v>
      </c>
    </row>
    <row r="174" spans="1:28" x14ac:dyDescent="0.25">
      <c r="A174" s="9">
        <v>5110515</v>
      </c>
      <c r="B174" s="9" t="s">
        <v>276</v>
      </c>
      <c r="C174">
        <v>36</v>
      </c>
      <c r="D174" s="11">
        <v>291947.08833333332</v>
      </c>
      <c r="E174" s="12"/>
      <c r="L174">
        <v>88888</v>
      </c>
      <c r="M174" s="2">
        <f t="shared" si="46"/>
        <v>173</v>
      </c>
      <c r="N174" s="3">
        <f t="shared" si="47"/>
        <v>43677</v>
      </c>
      <c r="O174" t="s">
        <v>288</v>
      </c>
      <c r="P174">
        <f t="shared" si="44"/>
        <v>2035</v>
      </c>
      <c r="Q174" s="6">
        <f t="shared" si="48"/>
        <v>36</v>
      </c>
      <c r="R174" s="5">
        <f t="shared" si="49"/>
        <v>43021.64</v>
      </c>
      <c r="T174" s="5">
        <f t="shared" si="50"/>
        <v>0</v>
      </c>
      <c r="U174">
        <f t="shared" si="51"/>
        <v>0</v>
      </c>
      <c r="V174">
        <f t="shared" si="52"/>
        <v>40</v>
      </c>
      <c r="W174" t="str">
        <f t="shared" si="53"/>
        <v xml:space="preserve">HORAS EXTRAS                            </v>
      </c>
      <c r="X174">
        <f t="shared" si="54"/>
        <v>12</v>
      </c>
      <c r="Y174" t="str">
        <f t="shared" si="55"/>
        <v xml:space="preserve"> </v>
      </c>
      <c r="AB174" t="str">
        <f t="shared" si="45"/>
        <v>HORAS EXTRAS</v>
      </c>
    </row>
    <row r="175" spans="1:28" x14ac:dyDescent="0.25">
      <c r="A175" s="9">
        <v>5110516</v>
      </c>
      <c r="B175" s="9" t="s">
        <v>277</v>
      </c>
      <c r="C175">
        <v>36</v>
      </c>
      <c r="D175" s="11">
        <v>43021.64</v>
      </c>
      <c r="E175" s="10"/>
      <c r="L175">
        <v>88888</v>
      </c>
      <c r="M175" s="2">
        <f t="shared" si="46"/>
        <v>174</v>
      </c>
      <c r="N175" s="3">
        <f t="shared" si="47"/>
        <v>43677</v>
      </c>
      <c r="O175" t="s">
        <v>204</v>
      </c>
      <c r="P175">
        <f t="shared" si="44"/>
        <v>1081</v>
      </c>
      <c r="Q175" s="6">
        <f t="shared" si="48"/>
        <v>36</v>
      </c>
      <c r="R175" s="5">
        <f t="shared" si="49"/>
        <v>2.75</v>
      </c>
      <c r="T175" s="5">
        <f t="shared" si="50"/>
        <v>0</v>
      </c>
      <c r="U175">
        <f t="shared" si="51"/>
        <v>0</v>
      </c>
      <c r="V175">
        <f t="shared" si="52"/>
        <v>40</v>
      </c>
      <c r="W175" t="str">
        <f t="shared" si="53"/>
        <v xml:space="preserve">OTROS GASTOS EN PERSONAL                </v>
      </c>
      <c r="X175">
        <f t="shared" si="54"/>
        <v>24</v>
      </c>
      <c r="Y175" t="str">
        <f t="shared" si="55"/>
        <v xml:space="preserve"> </v>
      </c>
      <c r="AB175" t="str">
        <f t="shared" si="45"/>
        <v>OTROS GASTOS EN PERSONAL</v>
      </c>
    </row>
    <row r="176" spans="1:28" x14ac:dyDescent="0.25">
      <c r="A176" s="9">
        <v>5111501</v>
      </c>
      <c r="B176" s="9" t="s">
        <v>32</v>
      </c>
      <c r="C176">
        <v>36</v>
      </c>
      <c r="D176" s="11">
        <v>2.75</v>
      </c>
      <c r="E176" s="10"/>
      <c r="L176">
        <v>88888</v>
      </c>
      <c r="M176" s="2">
        <f t="shared" si="46"/>
        <v>175</v>
      </c>
      <c r="N176" s="3">
        <f t="shared" si="47"/>
        <v>43677</v>
      </c>
      <c r="O176" t="s">
        <v>203</v>
      </c>
      <c r="P176">
        <f t="shared" si="44"/>
        <v>1028</v>
      </c>
      <c r="Q176" s="6">
        <f t="shared" si="48"/>
        <v>37</v>
      </c>
      <c r="R176" s="5">
        <f t="shared" si="49"/>
        <v>202892.88</v>
      </c>
      <c r="T176" s="5">
        <f t="shared" si="50"/>
        <v>0</v>
      </c>
      <c r="U176">
        <f t="shared" si="51"/>
        <v>0</v>
      </c>
      <c r="V176">
        <f t="shared" si="52"/>
        <v>40</v>
      </c>
      <c r="W176" t="str">
        <f t="shared" si="53"/>
        <v xml:space="preserve">SUELDOS                                 </v>
      </c>
      <c r="X176">
        <f t="shared" si="54"/>
        <v>7</v>
      </c>
      <c r="Y176" t="str">
        <f t="shared" si="55"/>
        <v xml:space="preserve"> </v>
      </c>
      <c r="AB176" t="str">
        <f t="shared" si="45"/>
        <v>SUELDOS</v>
      </c>
    </row>
    <row r="177" spans="1:28" x14ac:dyDescent="0.25">
      <c r="A177" s="9">
        <v>5110501</v>
      </c>
      <c r="B177" s="9" t="s">
        <v>25</v>
      </c>
      <c r="C177">
        <v>37</v>
      </c>
      <c r="D177" s="11">
        <v>202892.88</v>
      </c>
      <c r="E177" s="10"/>
      <c r="L177">
        <v>88888</v>
      </c>
      <c r="M177" s="2">
        <f t="shared" si="46"/>
        <v>176</v>
      </c>
      <c r="N177" s="3">
        <f t="shared" si="47"/>
        <v>43677</v>
      </c>
      <c r="O177" t="s">
        <v>143</v>
      </c>
      <c r="P177">
        <f t="shared" si="44"/>
        <v>1029</v>
      </c>
      <c r="Q177" s="6">
        <f t="shared" si="48"/>
        <v>37</v>
      </c>
      <c r="R177" s="5">
        <f t="shared" si="49"/>
        <v>87584.670578000005</v>
      </c>
      <c r="T177" s="5">
        <f t="shared" si="50"/>
        <v>0</v>
      </c>
      <c r="U177">
        <f t="shared" si="51"/>
        <v>0</v>
      </c>
      <c r="V177">
        <f t="shared" si="52"/>
        <v>40</v>
      </c>
      <c r="W177" t="str">
        <f t="shared" si="53"/>
        <v xml:space="preserve">CARGAS SOCIALES                         </v>
      </c>
      <c r="X177">
        <f t="shared" si="54"/>
        <v>15</v>
      </c>
      <c r="Y177" t="str">
        <f t="shared" si="55"/>
        <v xml:space="preserve"> </v>
      </c>
      <c r="AB177" t="str">
        <f t="shared" si="45"/>
        <v>CARGAS SOCIALES</v>
      </c>
    </row>
    <row r="178" spans="1:28" x14ac:dyDescent="0.25">
      <c r="A178" s="9">
        <v>5110502</v>
      </c>
      <c r="B178" s="9" t="s">
        <v>27</v>
      </c>
      <c r="C178">
        <v>37</v>
      </c>
      <c r="D178" s="11">
        <v>87584.670578000005</v>
      </c>
      <c r="E178" s="10"/>
      <c r="L178">
        <v>88888</v>
      </c>
      <c r="M178" s="2">
        <f t="shared" si="46"/>
        <v>177</v>
      </c>
      <c r="N178" s="3">
        <f t="shared" si="47"/>
        <v>43677</v>
      </c>
      <c r="O178" t="s">
        <v>302</v>
      </c>
      <c r="P178">
        <f t="shared" si="44"/>
        <v>2032</v>
      </c>
      <c r="Q178" s="6">
        <f t="shared" si="48"/>
        <v>37</v>
      </c>
      <c r="R178" s="5">
        <f t="shared" si="49"/>
        <v>100337.22</v>
      </c>
      <c r="T178" s="5">
        <f t="shared" si="50"/>
        <v>0</v>
      </c>
      <c r="U178">
        <f t="shared" si="51"/>
        <v>0</v>
      </c>
      <c r="V178">
        <f t="shared" si="52"/>
        <v>40</v>
      </c>
      <c r="W178" t="str">
        <f t="shared" si="53"/>
        <v xml:space="preserve">SAC                                     </v>
      </c>
      <c r="X178">
        <f t="shared" si="54"/>
        <v>3</v>
      </c>
      <c r="Y178" t="str">
        <f t="shared" si="55"/>
        <v xml:space="preserve"> </v>
      </c>
      <c r="AB178" t="str">
        <f t="shared" si="45"/>
        <v>SAC</v>
      </c>
    </row>
    <row r="179" spans="1:28" x14ac:dyDescent="0.25">
      <c r="A179" s="9">
        <v>5110513</v>
      </c>
      <c r="B179" s="9" t="s">
        <v>274</v>
      </c>
      <c r="C179">
        <v>37</v>
      </c>
      <c r="D179" s="11">
        <v>100337.22</v>
      </c>
      <c r="E179" s="12"/>
      <c r="L179">
        <v>88888</v>
      </c>
      <c r="M179" s="2">
        <f t="shared" si="46"/>
        <v>178</v>
      </c>
      <c r="N179" s="3">
        <f t="shared" si="47"/>
        <v>43677</v>
      </c>
      <c r="O179" t="s">
        <v>204</v>
      </c>
      <c r="P179">
        <f t="shared" si="44"/>
        <v>1081</v>
      </c>
      <c r="Q179" s="6">
        <f t="shared" si="48"/>
        <v>37</v>
      </c>
      <c r="R179" s="5">
        <f t="shared" si="49"/>
        <v>3.18</v>
      </c>
      <c r="T179" s="5">
        <f t="shared" si="50"/>
        <v>0</v>
      </c>
      <c r="U179">
        <f t="shared" si="51"/>
        <v>0</v>
      </c>
      <c r="V179">
        <f t="shared" si="52"/>
        <v>40</v>
      </c>
      <c r="W179" t="str">
        <f t="shared" si="53"/>
        <v xml:space="preserve">OTROS GASTOS EN PERSONAL                </v>
      </c>
      <c r="X179">
        <f t="shared" si="54"/>
        <v>24</v>
      </c>
      <c r="Y179" t="str">
        <f t="shared" si="55"/>
        <v xml:space="preserve"> </v>
      </c>
      <c r="AB179" t="str">
        <f t="shared" si="45"/>
        <v>OTROS GASTOS EN PERSONAL</v>
      </c>
    </row>
    <row r="180" spans="1:28" x14ac:dyDescent="0.25">
      <c r="A180" s="9">
        <v>5111501</v>
      </c>
      <c r="B180" s="9" t="s">
        <v>32</v>
      </c>
      <c r="C180">
        <v>37</v>
      </c>
      <c r="D180" s="11">
        <v>3.18</v>
      </c>
      <c r="E180" s="12"/>
      <c r="L180">
        <v>88888</v>
      </c>
      <c r="M180" s="2">
        <f t="shared" si="46"/>
        <v>179</v>
      </c>
      <c r="N180" s="3">
        <f t="shared" si="47"/>
        <v>43677</v>
      </c>
      <c r="O180" t="s">
        <v>203</v>
      </c>
      <c r="P180">
        <f t="shared" si="44"/>
        <v>1028</v>
      </c>
      <c r="Q180" s="6">
        <f t="shared" si="48"/>
        <v>38</v>
      </c>
      <c r="R180" s="5">
        <f t="shared" si="49"/>
        <v>311100.09000000003</v>
      </c>
      <c r="T180" s="5">
        <f t="shared" si="50"/>
        <v>0</v>
      </c>
      <c r="U180">
        <f t="shared" si="51"/>
        <v>0</v>
      </c>
      <c r="V180">
        <f t="shared" si="52"/>
        <v>40</v>
      </c>
      <c r="W180" t="str">
        <f t="shared" si="53"/>
        <v xml:space="preserve">SUELDOS                                 </v>
      </c>
      <c r="X180">
        <f t="shared" si="54"/>
        <v>7</v>
      </c>
      <c r="Y180" t="str">
        <f t="shared" si="55"/>
        <v xml:space="preserve"> </v>
      </c>
      <c r="AB180" t="str">
        <f t="shared" si="45"/>
        <v>SUELDOS</v>
      </c>
    </row>
    <row r="181" spans="1:28" x14ac:dyDescent="0.25">
      <c r="A181" s="9">
        <v>5110501</v>
      </c>
      <c r="B181" s="9" t="s">
        <v>25</v>
      </c>
      <c r="C181">
        <v>38</v>
      </c>
      <c r="D181" s="11">
        <v>311100.09000000003</v>
      </c>
      <c r="E181" s="12"/>
      <c r="L181">
        <v>88888</v>
      </c>
      <c r="M181" s="2">
        <f t="shared" si="46"/>
        <v>180</v>
      </c>
      <c r="N181" s="3">
        <f t="shared" si="47"/>
        <v>43677</v>
      </c>
      <c r="O181" t="s">
        <v>143</v>
      </c>
      <c r="P181">
        <f t="shared" si="44"/>
        <v>1029</v>
      </c>
      <c r="Q181" s="6">
        <f t="shared" si="48"/>
        <v>38</v>
      </c>
      <c r="R181" s="5">
        <f t="shared" si="49"/>
        <v>120444.13466000001</v>
      </c>
      <c r="T181" s="5">
        <f t="shared" si="50"/>
        <v>0</v>
      </c>
      <c r="U181">
        <f t="shared" si="51"/>
        <v>0</v>
      </c>
      <c r="V181">
        <f t="shared" si="52"/>
        <v>40</v>
      </c>
      <c r="W181" t="str">
        <f t="shared" si="53"/>
        <v xml:space="preserve">CARGAS SOCIALES                         </v>
      </c>
      <c r="X181">
        <f t="shared" si="54"/>
        <v>15</v>
      </c>
      <c r="Y181" t="str">
        <f t="shared" si="55"/>
        <v xml:space="preserve"> </v>
      </c>
      <c r="AB181" t="str">
        <f t="shared" si="45"/>
        <v>CARGAS SOCIALES</v>
      </c>
    </row>
    <row r="182" spans="1:28" x14ac:dyDescent="0.25">
      <c r="A182" s="9">
        <v>5110502</v>
      </c>
      <c r="B182" s="9" t="s">
        <v>27</v>
      </c>
      <c r="C182">
        <v>38</v>
      </c>
      <c r="D182" s="11">
        <v>120444.13466000001</v>
      </c>
      <c r="E182" s="12"/>
      <c r="L182">
        <v>88888</v>
      </c>
      <c r="M182" s="2">
        <f t="shared" si="46"/>
        <v>181</v>
      </c>
      <c r="N182" s="3">
        <f t="shared" si="47"/>
        <v>43677</v>
      </c>
      <c r="O182" t="s">
        <v>302</v>
      </c>
      <c r="P182">
        <f t="shared" si="44"/>
        <v>2032</v>
      </c>
      <c r="Q182" s="6">
        <f t="shared" si="48"/>
        <v>38</v>
      </c>
      <c r="R182" s="5">
        <f t="shared" si="49"/>
        <v>159134.41</v>
      </c>
      <c r="T182" s="5">
        <f t="shared" si="50"/>
        <v>0</v>
      </c>
      <c r="U182">
        <f t="shared" si="51"/>
        <v>0</v>
      </c>
      <c r="V182">
        <f t="shared" si="52"/>
        <v>40</v>
      </c>
      <c r="W182" t="str">
        <f t="shared" si="53"/>
        <v xml:space="preserve">SAC                                     </v>
      </c>
      <c r="X182">
        <f t="shared" si="54"/>
        <v>3</v>
      </c>
      <c r="Y182" t="str">
        <f t="shared" si="55"/>
        <v xml:space="preserve"> </v>
      </c>
      <c r="AB182" t="str">
        <f t="shared" si="45"/>
        <v>SAC</v>
      </c>
    </row>
    <row r="183" spans="1:28" x14ac:dyDescent="0.25">
      <c r="A183" s="9">
        <v>5110513</v>
      </c>
      <c r="B183" s="9" t="s">
        <v>274</v>
      </c>
      <c r="C183">
        <v>38</v>
      </c>
      <c r="D183" s="11">
        <v>159134.41</v>
      </c>
      <c r="E183" s="10"/>
      <c r="L183">
        <v>88888</v>
      </c>
      <c r="M183" s="2">
        <f t="shared" si="46"/>
        <v>182</v>
      </c>
      <c r="N183" s="3">
        <f t="shared" si="47"/>
        <v>43677</v>
      </c>
      <c r="O183" t="s">
        <v>204</v>
      </c>
      <c r="P183">
        <f t="shared" si="44"/>
        <v>1081</v>
      </c>
      <c r="Q183" s="6">
        <f t="shared" si="48"/>
        <v>38</v>
      </c>
      <c r="R183" s="5">
        <f t="shared" si="49"/>
        <v>3.74</v>
      </c>
      <c r="T183" s="5">
        <f t="shared" si="50"/>
        <v>0</v>
      </c>
      <c r="U183">
        <f t="shared" si="51"/>
        <v>0</v>
      </c>
      <c r="V183">
        <f t="shared" si="52"/>
        <v>40</v>
      </c>
      <c r="W183" t="str">
        <f t="shared" si="53"/>
        <v xml:space="preserve">OTROS GASTOS EN PERSONAL                </v>
      </c>
      <c r="X183">
        <f t="shared" si="54"/>
        <v>24</v>
      </c>
      <c r="Y183" t="str">
        <f t="shared" si="55"/>
        <v xml:space="preserve"> </v>
      </c>
      <c r="AB183" t="str">
        <f t="shared" si="45"/>
        <v>OTROS GASTOS EN PERSONAL</v>
      </c>
    </row>
    <row r="184" spans="1:28" x14ac:dyDescent="0.25">
      <c r="A184" s="9">
        <v>5111501</v>
      </c>
      <c r="B184" s="9" t="s">
        <v>32</v>
      </c>
      <c r="C184">
        <v>38</v>
      </c>
      <c r="D184" s="11">
        <v>3.74</v>
      </c>
      <c r="E184" s="12"/>
      <c r="L184">
        <v>88888</v>
      </c>
      <c r="M184" s="2">
        <f t="shared" si="46"/>
        <v>183</v>
      </c>
      <c r="N184" s="3">
        <f t="shared" si="47"/>
        <v>43677</v>
      </c>
      <c r="O184" t="s">
        <v>203</v>
      </c>
      <c r="P184">
        <f t="shared" si="44"/>
        <v>1028</v>
      </c>
      <c r="Q184" s="6">
        <f t="shared" si="48"/>
        <v>39</v>
      </c>
      <c r="R184" s="5">
        <f t="shared" si="49"/>
        <v>204369.84</v>
      </c>
      <c r="T184" s="5">
        <f t="shared" si="50"/>
        <v>0</v>
      </c>
      <c r="U184">
        <f t="shared" si="51"/>
        <v>0</v>
      </c>
      <c r="V184">
        <f t="shared" si="52"/>
        <v>40</v>
      </c>
      <c r="W184" t="str">
        <f t="shared" si="53"/>
        <v xml:space="preserve">SUELDOS                                 </v>
      </c>
      <c r="X184">
        <f t="shared" si="54"/>
        <v>7</v>
      </c>
      <c r="Y184" t="str">
        <f t="shared" si="55"/>
        <v xml:space="preserve"> </v>
      </c>
      <c r="AB184" t="str">
        <f t="shared" si="45"/>
        <v>SUELDOS</v>
      </c>
    </row>
    <row r="185" spans="1:28" x14ac:dyDescent="0.25">
      <c r="A185" s="9">
        <v>5110501</v>
      </c>
      <c r="B185" s="9" t="s">
        <v>25</v>
      </c>
      <c r="C185">
        <v>39</v>
      </c>
      <c r="D185" s="11">
        <v>204369.84</v>
      </c>
      <c r="E185" s="10"/>
      <c r="L185">
        <v>88888</v>
      </c>
      <c r="M185" s="2">
        <f t="shared" si="46"/>
        <v>184</v>
      </c>
      <c r="N185" s="3">
        <f t="shared" si="47"/>
        <v>43677</v>
      </c>
      <c r="O185" t="s">
        <v>143</v>
      </c>
      <c r="P185">
        <f t="shared" si="44"/>
        <v>1029</v>
      </c>
      <c r="Q185" s="6">
        <f t="shared" si="48"/>
        <v>39</v>
      </c>
      <c r="R185" s="5">
        <f t="shared" si="49"/>
        <v>92668.969803199987</v>
      </c>
      <c r="T185" s="5">
        <f t="shared" si="50"/>
        <v>0</v>
      </c>
      <c r="U185">
        <f t="shared" si="51"/>
        <v>0</v>
      </c>
      <c r="V185">
        <f t="shared" si="52"/>
        <v>40</v>
      </c>
      <c r="W185" t="str">
        <f t="shared" si="53"/>
        <v xml:space="preserve">CARGAS SOCIALES                         </v>
      </c>
      <c r="X185">
        <f t="shared" si="54"/>
        <v>15</v>
      </c>
      <c r="Y185" t="str">
        <f t="shared" si="55"/>
        <v xml:space="preserve"> </v>
      </c>
      <c r="AB185" t="str">
        <f t="shared" si="45"/>
        <v>CARGAS SOCIALES</v>
      </c>
    </row>
    <row r="186" spans="1:28" x14ac:dyDescent="0.25">
      <c r="A186" s="9">
        <v>5110502</v>
      </c>
      <c r="B186" s="9" t="s">
        <v>27</v>
      </c>
      <c r="C186">
        <v>39</v>
      </c>
      <c r="D186" s="11">
        <v>92668.969803199987</v>
      </c>
      <c r="E186" s="5"/>
      <c r="L186">
        <v>88888</v>
      </c>
      <c r="M186" s="2">
        <f t="shared" si="46"/>
        <v>185</v>
      </c>
      <c r="N186" s="3">
        <f t="shared" si="47"/>
        <v>43677</v>
      </c>
      <c r="O186" t="s">
        <v>302</v>
      </c>
      <c r="P186">
        <f t="shared" si="44"/>
        <v>2032</v>
      </c>
      <c r="Q186" s="6">
        <f t="shared" si="48"/>
        <v>39</v>
      </c>
      <c r="R186" s="5">
        <f t="shared" si="49"/>
        <v>128495.06</v>
      </c>
      <c r="T186" s="5">
        <f t="shared" si="50"/>
        <v>0</v>
      </c>
      <c r="U186">
        <f t="shared" si="51"/>
        <v>0</v>
      </c>
      <c r="V186">
        <f t="shared" si="52"/>
        <v>40</v>
      </c>
      <c r="W186" t="str">
        <f t="shared" si="53"/>
        <v xml:space="preserve">SAC                                     </v>
      </c>
      <c r="X186">
        <f t="shared" si="54"/>
        <v>3</v>
      </c>
      <c r="Y186" t="str">
        <f t="shared" si="55"/>
        <v xml:space="preserve"> </v>
      </c>
      <c r="AB186" t="str">
        <f t="shared" si="45"/>
        <v>SAC</v>
      </c>
    </row>
    <row r="187" spans="1:28" x14ac:dyDescent="0.25">
      <c r="A187" s="9">
        <v>5110513</v>
      </c>
      <c r="B187" s="9" t="s">
        <v>274</v>
      </c>
      <c r="C187">
        <v>39</v>
      </c>
      <c r="D187" s="11">
        <v>128495.06</v>
      </c>
      <c r="E187" s="10"/>
      <c r="L187">
        <v>88888</v>
      </c>
      <c r="M187" s="2">
        <f t="shared" si="46"/>
        <v>186</v>
      </c>
      <c r="N187" s="3">
        <f t="shared" si="47"/>
        <v>43677</v>
      </c>
      <c r="O187" t="s">
        <v>288</v>
      </c>
      <c r="P187">
        <f t="shared" si="44"/>
        <v>2035</v>
      </c>
      <c r="Q187" s="6">
        <f t="shared" si="48"/>
        <v>39</v>
      </c>
      <c r="R187" s="5">
        <f t="shared" si="49"/>
        <v>14233.94</v>
      </c>
      <c r="T187" s="5">
        <f t="shared" si="50"/>
        <v>0</v>
      </c>
      <c r="U187">
        <f t="shared" si="51"/>
        <v>0</v>
      </c>
      <c r="V187">
        <f t="shared" si="52"/>
        <v>40</v>
      </c>
      <c r="W187" t="str">
        <f t="shared" si="53"/>
        <v xml:space="preserve">HORAS EXTRAS                            </v>
      </c>
      <c r="X187">
        <f t="shared" si="54"/>
        <v>12</v>
      </c>
      <c r="Y187" t="str">
        <f t="shared" si="55"/>
        <v xml:space="preserve"> </v>
      </c>
      <c r="AB187" t="str">
        <f t="shared" si="45"/>
        <v>HORAS EXTRAS</v>
      </c>
    </row>
    <row r="188" spans="1:28" x14ac:dyDescent="0.25">
      <c r="A188" s="9">
        <v>5110516</v>
      </c>
      <c r="B188" s="9" t="s">
        <v>277</v>
      </c>
      <c r="C188">
        <v>39</v>
      </c>
      <c r="D188" s="11">
        <v>14233.94</v>
      </c>
      <c r="E188" s="12"/>
      <c r="L188">
        <v>88888</v>
      </c>
      <c r="M188" s="2">
        <f t="shared" si="46"/>
        <v>187</v>
      </c>
      <c r="N188" s="3">
        <f t="shared" si="47"/>
        <v>43677</v>
      </c>
      <c r="O188" t="s">
        <v>204</v>
      </c>
      <c r="P188">
        <f t="shared" si="44"/>
        <v>1081</v>
      </c>
      <c r="Q188" s="6">
        <f t="shared" si="48"/>
        <v>39</v>
      </c>
      <c r="R188" s="5">
        <f t="shared" si="49"/>
        <v>0.86</v>
      </c>
      <c r="T188" s="5">
        <f t="shared" si="50"/>
        <v>0</v>
      </c>
      <c r="U188">
        <f t="shared" si="51"/>
        <v>0</v>
      </c>
      <c r="V188">
        <f t="shared" si="52"/>
        <v>40</v>
      </c>
      <c r="W188" t="str">
        <f t="shared" si="53"/>
        <v xml:space="preserve">OTROS GASTOS EN PERSONAL                </v>
      </c>
      <c r="X188">
        <f t="shared" si="54"/>
        <v>24</v>
      </c>
      <c r="Y188" t="str">
        <f t="shared" si="55"/>
        <v xml:space="preserve"> </v>
      </c>
      <c r="AB188" t="str">
        <f t="shared" si="45"/>
        <v>OTROS GASTOS EN PERSONAL</v>
      </c>
    </row>
    <row r="189" spans="1:28" x14ac:dyDescent="0.25">
      <c r="A189" s="9">
        <v>5111501</v>
      </c>
      <c r="B189" s="9" t="s">
        <v>32</v>
      </c>
      <c r="C189">
        <v>39</v>
      </c>
      <c r="D189" s="11">
        <v>0.86</v>
      </c>
      <c r="E189" s="12"/>
      <c r="L189">
        <v>88888</v>
      </c>
      <c r="M189" s="2">
        <f t="shared" si="46"/>
        <v>188</v>
      </c>
      <c r="N189" s="3">
        <f t="shared" si="47"/>
        <v>43677</v>
      </c>
      <c r="O189" t="s">
        <v>203</v>
      </c>
      <c r="P189">
        <f t="shared" si="44"/>
        <v>1028</v>
      </c>
      <c r="Q189" s="6">
        <f t="shared" si="48"/>
        <v>40</v>
      </c>
      <c r="R189" s="5">
        <f t="shared" si="49"/>
        <v>176128.17</v>
      </c>
      <c r="T189" s="5">
        <f t="shared" si="50"/>
        <v>0</v>
      </c>
      <c r="U189">
        <f t="shared" si="51"/>
        <v>0</v>
      </c>
      <c r="V189">
        <f t="shared" si="52"/>
        <v>40</v>
      </c>
      <c r="W189" t="str">
        <f t="shared" si="53"/>
        <v xml:space="preserve">SUELDOS                                 </v>
      </c>
      <c r="X189">
        <f t="shared" si="54"/>
        <v>7</v>
      </c>
      <c r="Y189" t="str">
        <f t="shared" si="55"/>
        <v xml:space="preserve"> </v>
      </c>
      <c r="AB189" t="str">
        <f t="shared" si="45"/>
        <v>SUELDOS</v>
      </c>
    </row>
    <row r="190" spans="1:28" x14ac:dyDescent="0.25">
      <c r="A190" s="9">
        <v>5110501</v>
      </c>
      <c r="B190" s="9" t="s">
        <v>25</v>
      </c>
      <c r="C190">
        <v>40</v>
      </c>
      <c r="D190" s="11">
        <v>176128.17</v>
      </c>
      <c r="E190" s="12"/>
      <c r="L190">
        <v>88888</v>
      </c>
      <c r="M190" s="2">
        <f t="shared" si="46"/>
        <v>189</v>
      </c>
      <c r="N190" s="3">
        <f t="shared" si="47"/>
        <v>43677</v>
      </c>
      <c r="O190" t="s">
        <v>143</v>
      </c>
      <c r="P190">
        <f t="shared" si="44"/>
        <v>1029</v>
      </c>
      <c r="Q190" s="6">
        <f t="shared" si="48"/>
        <v>40</v>
      </c>
      <c r="R190" s="5">
        <f t="shared" si="49"/>
        <v>70519.422363000005</v>
      </c>
      <c r="T190" s="5">
        <f t="shared" si="50"/>
        <v>0</v>
      </c>
      <c r="U190">
        <f t="shared" si="51"/>
        <v>0</v>
      </c>
      <c r="V190">
        <f t="shared" si="52"/>
        <v>40</v>
      </c>
      <c r="W190" t="str">
        <f t="shared" si="53"/>
        <v xml:space="preserve">CARGAS SOCIALES                         </v>
      </c>
      <c r="X190">
        <f t="shared" si="54"/>
        <v>15</v>
      </c>
      <c r="Y190" t="str">
        <f t="shared" si="55"/>
        <v xml:space="preserve"> </v>
      </c>
      <c r="AB190" t="str">
        <f t="shared" si="45"/>
        <v>CARGAS SOCIALES</v>
      </c>
    </row>
    <row r="191" spans="1:28" x14ac:dyDescent="0.25">
      <c r="A191" s="9">
        <v>5110502</v>
      </c>
      <c r="B191" s="9" t="s">
        <v>27</v>
      </c>
      <c r="C191">
        <v>40</v>
      </c>
      <c r="D191" s="11">
        <v>70519.422363000005</v>
      </c>
      <c r="E191" s="10"/>
      <c r="L191">
        <v>88888</v>
      </c>
      <c r="M191" s="2">
        <f t="shared" si="46"/>
        <v>190</v>
      </c>
      <c r="N191" s="3">
        <f t="shared" si="47"/>
        <v>43677</v>
      </c>
      <c r="O191" t="s">
        <v>302</v>
      </c>
      <c r="P191">
        <f t="shared" si="44"/>
        <v>2032</v>
      </c>
      <c r="Q191" s="6">
        <f t="shared" si="48"/>
        <v>40</v>
      </c>
      <c r="R191" s="5">
        <f t="shared" si="49"/>
        <v>88291.68</v>
      </c>
      <c r="T191" s="5">
        <f t="shared" si="50"/>
        <v>0</v>
      </c>
      <c r="U191">
        <f t="shared" si="51"/>
        <v>0</v>
      </c>
      <c r="V191">
        <f t="shared" si="52"/>
        <v>40</v>
      </c>
      <c r="W191" t="str">
        <f t="shared" si="53"/>
        <v xml:space="preserve">SAC                                     </v>
      </c>
      <c r="X191">
        <f t="shared" si="54"/>
        <v>3</v>
      </c>
      <c r="Y191" t="str">
        <f t="shared" si="55"/>
        <v xml:space="preserve"> </v>
      </c>
      <c r="AB191" t="str">
        <f t="shared" si="45"/>
        <v>SAC</v>
      </c>
    </row>
    <row r="192" spans="1:28" x14ac:dyDescent="0.25">
      <c r="A192" s="9">
        <v>5110513</v>
      </c>
      <c r="B192" s="9" t="s">
        <v>274</v>
      </c>
      <c r="C192">
        <v>40</v>
      </c>
      <c r="D192" s="11">
        <v>88291.68</v>
      </c>
      <c r="E192" s="10"/>
      <c r="L192">
        <v>88888</v>
      </c>
      <c r="M192" s="2">
        <f t="shared" si="46"/>
        <v>191</v>
      </c>
      <c r="N192" s="3">
        <f t="shared" si="47"/>
        <v>43677</v>
      </c>
      <c r="O192" t="s">
        <v>204</v>
      </c>
      <c r="P192">
        <f t="shared" si="44"/>
        <v>1081</v>
      </c>
      <c r="Q192" s="6">
        <f t="shared" si="48"/>
        <v>40</v>
      </c>
      <c r="R192" s="5">
        <f t="shared" si="49"/>
        <v>1.6</v>
      </c>
      <c r="T192" s="5">
        <f t="shared" si="50"/>
        <v>0</v>
      </c>
      <c r="U192">
        <f t="shared" si="51"/>
        <v>0</v>
      </c>
      <c r="V192">
        <f t="shared" si="52"/>
        <v>40</v>
      </c>
      <c r="W192" t="str">
        <f t="shared" si="53"/>
        <v xml:space="preserve">OTROS GASTOS EN PERSONAL                </v>
      </c>
      <c r="X192">
        <f t="shared" si="54"/>
        <v>24</v>
      </c>
      <c r="Y192" t="str">
        <f t="shared" si="55"/>
        <v xml:space="preserve"> </v>
      </c>
      <c r="AB192" t="str">
        <f t="shared" si="45"/>
        <v>OTROS GASTOS EN PERSONAL</v>
      </c>
    </row>
    <row r="193" spans="1:28" x14ac:dyDescent="0.25">
      <c r="A193" s="9">
        <v>5111501</v>
      </c>
      <c r="B193" s="9" t="s">
        <v>32</v>
      </c>
      <c r="C193">
        <v>40</v>
      </c>
      <c r="D193" s="11">
        <v>1.6</v>
      </c>
      <c r="E193" s="12"/>
      <c r="L193">
        <v>88888</v>
      </c>
      <c r="M193" s="2">
        <f t="shared" si="46"/>
        <v>192</v>
      </c>
      <c r="N193" s="3">
        <f t="shared" si="47"/>
        <v>43677</v>
      </c>
      <c r="O193" t="s">
        <v>203</v>
      </c>
      <c r="P193">
        <f t="shared" si="44"/>
        <v>1028</v>
      </c>
      <c r="Q193" s="6">
        <f t="shared" si="48"/>
        <v>41</v>
      </c>
      <c r="R193" s="5">
        <f t="shared" si="49"/>
        <v>109450.74</v>
      </c>
      <c r="T193" s="5">
        <f t="shared" si="50"/>
        <v>0</v>
      </c>
      <c r="U193">
        <f t="shared" si="51"/>
        <v>0</v>
      </c>
      <c r="V193">
        <f t="shared" si="52"/>
        <v>40</v>
      </c>
      <c r="W193" t="str">
        <f t="shared" si="53"/>
        <v xml:space="preserve">SUELDOS                                 </v>
      </c>
      <c r="X193">
        <f t="shared" si="54"/>
        <v>7</v>
      </c>
      <c r="Y193" t="str">
        <f t="shared" si="55"/>
        <v xml:space="preserve"> </v>
      </c>
      <c r="AB193" t="str">
        <f t="shared" si="45"/>
        <v>SUELDOS</v>
      </c>
    </row>
    <row r="194" spans="1:28" x14ac:dyDescent="0.25">
      <c r="A194" s="9">
        <v>5110501</v>
      </c>
      <c r="B194" s="9" t="s">
        <v>25</v>
      </c>
      <c r="C194">
        <v>41</v>
      </c>
      <c r="D194" s="11">
        <v>109450.74</v>
      </c>
      <c r="E194" s="10"/>
      <c r="L194">
        <v>88888</v>
      </c>
      <c r="M194" s="2">
        <f t="shared" si="46"/>
        <v>193</v>
      </c>
      <c r="N194" s="3">
        <f t="shared" si="47"/>
        <v>43677</v>
      </c>
      <c r="O194" t="s">
        <v>143</v>
      </c>
      <c r="P194">
        <f t="shared" ref="P194:P257" si="56">LOOKUP(A195,F$2:F$153,H$2:H$153)</f>
        <v>1029</v>
      </c>
      <c r="Q194" s="6">
        <f t="shared" si="48"/>
        <v>41</v>
      </c>
      <c r="R194" s="5">
        <f t="shared" si="49"/>
        <v>43615.987154800001</v>
      </c>
      <c r="T194" s="5">
        <f t="shared" si="50"/>
        <v>0</v>
      </c>
      <c r="U194">
        <f t="shared" si="51"/>
        <v>0</v>
      </c>
      <c r="V194">
        <f t="shared" si="52"/>
        <v>40</v>
      </c>
      <c r="W194" t="str">
        <f t="shared" si="53"/>
        <v xml:space="preserve">CARGAS SOCIALES                         </v>
      </c>
      <c r="X194">
        <f t="shared" si="54"/>
        <v>15</v>
      </c>
      <c r="Y194" t="str">
        <f t="shared" si="55"/>
        <v xml:space="preserve"> </v>
      </c>
      <c r="AB194" t="str">
        <f t="shared" ref="AB194:AB257" si="57">LOOKUP(A195,F$2:F$153,G$2:G$153)</f>
        <v>CARGAS SOCIALES</v>
      </c>
    </row>
    <row r="195" spans="1:28" x14ac:dyDescent="0.25">
      <c r="A195" s="9">
        <v>5110502</v>
      </c>
      <c r="B195" s="9" t="s">
        <v>27</v>
      </c>
      <c r="C195">
        <v>41</v>
      </c>
      <c r="D195" s="11">
        <v>43615.987154800001</v>
      </c>
      <c r="E195" s="10"/>
      <c r="L195">
        <v>88888</v>
      </c>
      <c r="M195" s="2">
        <f t="shared" si="46"/>
        <v>194</v>
      </c>
      <c r="N195" s="3">
        <f t="shared" si="47"/>
        <v>43677</v>
      </c>
      <c r="O195" t="s">
        <v>302</v>
      </c>
      <c r="P195">
        <f t="shared" si="56"/>
        <v>2032</v>
      </c>
      <c r="Q195" s="6">
        <f t="shared" si="48"/>
        <v>41</v>
      </c>
      <c r="R195" s="5">
        <f t="shared" si="49"/>
        <v>54728.52</v>
      </c>
      <c r="T195" s="5">
        <f t="shared" si="50"/>
        <v>0</v>
      </c>
      <c r="U195">
        <f t="shared" si="51"/>
        <v>0</v>
      </c>
      <c r="V195">
        <f t="shared" si="52"/>
        <v>40</v>
      </c>
      <c r="W195" t="str">
        <f t="shared" si="53"/>
        <v xml:space="preserve">SAC                                     </v>
      </c>
      <c r="X195">
        <f t="shared" si="54"/>
        <v>3</v>
      </c>
      <c r="Y195" t="str">
        <f t="shared" si="55"/>
        <v xml:space="preserve"> </v>
      </c>
      <c r="AB195" t="str">
        <f t="shared" si="57"/>
        <v>SAC</v>
      </c>
    </row>
    <row r="196" spans="1:28" x14ac:dyDescent="0.25">
      <c r="A196" s="9">
        <v>5110513</v>
      </c>
      <c r="B196" s="9" t="s">
        <v>274</v>
      </c>
      <c r="C196">
        <v>41</v>
      </c>
      <c r="D196" s="11">
        <v>54728.52</v>
      </c>
      <c r="E196" s="10"/>
      <c r="L196">
        <v>88888</v>
      </c>
      <c r="M196" s="2">
        <f t="shared" si="46"/>
        <v>195</v>
      </c>
      <c r="N196" s="3">
        <f t="shared" si="47"/>
        <v>43677</v>
      </c>
      <c r="O196" t="s">
        <v>204</v>
      </c>
      <c r="P196">
        <f t="shared" si="56"/>
        <v>1081</v>
      </c>
      <c r="Q196" s="6">
        <f t="shared" si="48"/>
        <v>41</v>
      </c>
      <c r="R196" s="5">
        <f t="shared" si="49"/>
        <v>0.98</v>
      </c>
      <c r="T196" s="5">
        <f t="shared" si="50"/>
        <v>0</v>
      </c>
      <c r="U196">
        <f t="shared" si="51"/>
        <v>0</v>
      </c>
      <c r="V196">
        <f t="shared" si="52"/>
        <v>40</v>
      </c>
      <c r="W196" t="str">
        <f t="shared" si="53"/>
        <v xml:space="preserve">OTROS GASTOS EN PERSONAL                </v>
      </c>
      <c r="X196">
        <f t="shared" si="54"/>
        <v>24</v>
      </c>
      <c r="Y196" t="str">
        <f t="shared" si="55"/>
        <v xml:space="preserve"> </v>
      </c>
      <c r="AB196" t="str">
        <f t="shared" si="57"/>
        <v>OTROS GASTOS EN PERSONAL</v>
      </c>
    </row>
    <row r="197" spans="1:28" x14ac:dyDescent="0.25">
      <c r="A197" s="7">
        <v>5111501</v>
      </c>
      <c r="B197" s="7" t="s">
        <v>32</v>
      </c>
      <c r="C197">
        <v>41</v>
      </c>
      <c r="D197" s="11">
        <v>0.98</v>
      </c>
      <c r="E197" s="12"/>
      <c r="L197">
        <v>88888</v>
      </c>
      <c r="M197" s="2">
        <f t="shared" si="46"/>
        <v>196</v>
      </c>
      <c r="N197" s="3">
        <f t="shared" si="47"/>
        <v>43677</v>
      </c>
      <c r="O197" t="s">
        <v>203</v>
      </c>
      <c r="P197">
        <f t="shared" si="56"/>
        <v>1028</v>
      </c>
      <c r="Q197" s="6">
        <f t="shared" si="48"/>
        <v>42</v>
      </c>
      <c r="R197" s="5">
        <f t="shared" si="49"/>
        <v>64746.62</v>
      </c>
      <c r="T197" s="5">
        <f t="shared" si="50"/>
        <v>0</v>
      </c>
      <c r="U197">
        <f t="shared" si="51"/>
        <v>0</v>
      </c>
      <c r="V197">
        <f t="shared" si="52"/>
        <v>40</v>
      </c>
      <c r="W197" t="str">
        <f t="shared" si="53"/>
        <v xml:space="preserve">SUELDOS                                 </v>
      </c>
      <c r="X197">
        <f t="shared" si="54"/>
        <v>7</v>
      </c>
      <c r="Y197" t="str">
        <f t="shared" si="55"/>
        <v xml:space="preserve"> </v>
      </c>
      <c r="AB197" t="str">
        <f t="shared" si="57"/>
        <v>SUELDOS</v>
      </c>
    </row>
    <row r="198" spans="1:28" x14ac:dyDescent="0.25">
      <c r="A198" s="8">
        <v>5110501</v>
      </c>
      <c r="B198" s="7" t="s">
        <v>25</v>
      </c>
      <c r="C198">
        <v>42</v>
      </c>
      <c r="D198" s="11">
        <v>64746.62</v>
      </c>
      <c r="E198" s="13"/>
      <c r="L198">
        <v>88888</v>
      </c>
      <c r="M198" s="2">
        <f t="shared" si="46"/>
        <v>197</v>
      </c>
      <c r="N198" s="3">
        <f t="shared" si="47"/>
        <v>43677</v>
      </c>
      <c r="O198" t="s">
        <v>143</v>
      </c>
      <c r="P198">
        <f t="shared" si="56"/>
        <v>1029</v>
      </c>
      <c r="Q198" s="6">
        <f t="shared" si="48"/>
        <v>42</v>
      </c>
      <c r="R198" s="5">
        <f t="shared" si="49"/>
        <v>29933.867655400001</v>
      </c>
      <c r="T198" s="5">
        <f t="shared" si="50"/>
        <v>0</v>
      </c>
      <c r="U198">
        <f t="shared" si="51"/>
        <v>0</v>
      </c>
      <c r="V198">
        <f t="shared" si="52"/>
        <v>40</v>
      </c>
      <c r="W198" t="str">
        <f t="shared" si="53"/>
        <v xml:space="preserve">CARGAS SOCIALES                         </v>
      </c>
      <c r="X198">
        <f t="shared" si="54"/>
        <v>15</v>
      </c>
      <c r="Y198" t="str">
        <f t="shared" si="55"/>
        <v xml:space="preserve"> </v>
      </c>
      <c r="AB198" t="str">
        <f t="shared" si="57"/>
        <v>CARGAS SOCIALES</v>
      </c>
    </row>
    <row r="199" spans="1:28" x14ac:dyDescent="0.25">
      <c r="A199" s="8">
        <v>5110502</v>
      </c>
      <c r="B199" s="7" t="s">
        <v>27</v>
      </c>
      <c r="C199">
        <v>42</v>
      </c>
      <c r="D199" s="11">
        <v>29933.867655400001</v>
      </c>
      <c r="E199" s="13"/>
      <c r="L199">
        <v>88888</v>
      </c>
      <c r="M199" s="2">
        <f t="shared" si="46"/>
        <v>198</v>
      </c>
      <c r="N199" s="3">
        <f t="shared" si="47"/>
        <v>43677</v>
      </c>
      <c r="O199" t="s">
        <v>302</v>
      </c>
      <c r="P199">
        <f t="shared" si="56"/>
        <v>2032</v>
      </c>
      <c r="Q199" s="6">
        <f t="shared" si="48"/>
        <v>42</v>
      </c>
      <c r="R199" s="5">
        <f t="shared" si="49"/>
        <v>32373.31</v>
      </c>
      <c r="T199" s="5">
        <f t="shared" si="50"/>
        <v>0</v>
      </c>
      <c r="U199">
        <f t="shared" si="51"/>
        <v>0</v>
      </c>
      <c r="V199">
        <f t="shared" si="52"/>
        <v>40</v>
      </c>
      <c r="W199" t="str">
        <f t="shared" si="53"/>
        <v xml:space="preserve">SAC                                     </v>
      </c>
      <c r="X199">
        <f t="shared" si="54"/>
        <v>3</v>
      </c>
      <c r="Y199" t="str">
        <f t="shared" si="55"/>
        <v xml:space="preserve"> </v>
      </c>
      <c r="AB199" t="str">
        <f t="shared" si="57"/>
        <v>SAC</v>
      </c>
    </row>
    <row r="200" spans="1:28" x14ac:dyDescent="0.25">
      <c r="A200" s="7">
        <v>5110513</v>
      </c>
      <c r="B200" s="7" t="s">
        <v>274</v>
      </c>
      <c r="C200">
        <v>42</v>
      </c>
      <c r="D200" s="11">
        <v>32373.31</v>
      </c>
      <c r="E200" s="10"/>
      <c r="L200">
        <v>88888</v>
      </c>
      <c r="M200" s="2">
        <f t="shared" si="46"/>
        <v>199</v>
      </c>
      <c r="N200" s="3">
        <f t="shared" si="47"/>
        <v>43677</v>
      </c>
      <c r="O200" t="s">
        <v>289</v>
      </c>
      <c r="P200">
        <f t="shared" si="56"/>
        <v>2033</v>
      </c>
      <c r="Q200" s="6">
        <f t="shared" si="48"/>
        <v>42</v>
      </c>
      <c r="R200" s="5">
        <f t="shared" si="49"/>
        <v>14028.3</v>
      </c>
      <c r="T200" s="5">
        <f t="shared" si="50"/>
        <v>0</v>
      </c>
      <c r="U200">
        <f t="shared" si="51"/>
        <v>0</v>
      </c>
      <c r="V200">
        <f t="shared" si="52"/>
        <v>40</v>
      </c>
      <c r="W200" t="str">
        <f t="shared" si="53"/>
        <v xml:space="preserve">VACACIONES                              </v>
      </c>
      <c r="X200">
        <f t="shared" si="54"/>
        <v>10</v>
      </c>
      <c r="Y200" t="str">
        <f t="shared" si="55"/>
        <v xml:space="preserve"> </v>
      </c>
      <c r="AB200" t="str">
        <f t="shared" si="57"/>
        <v>VACACIONES</v>
      </c>
    </row>
    <row r="201" spans="1:28" x14ac:dyDescent="0.25">
      <c r="A201" s="7">
        <v>5110514</v>
      </c>
      <c r="B201" s="7" t="s">
        <v>275</v>
      </c>
      <c r="C201">
        <v>42</v>
      </c>
      <c r="D201" s="11">
        <v>14028.3</v>
      </c>
      <c r="E201" s="12"/>
      <c r="L201">
        <v>88888</v>
      </c>
      <c r="M201" s="2">
        <f t="shared" si="46"/>
        <v>200</v>
      </c>
      <c r="N201" s="3">
        <f t="shared" si="47"/>
        <v>43677</v>
      </c>
      <c r="O201" t="s">
        <v>204</v>
      </c>
      <c r="P201">
        <f t="shared" si="56"/>
        <v>1081</v>
      </c>
      <c r="Q201" s="6">
        <f t="shared" si="48"/>
        <v>42</v>
      </c>
      <c r="R201" s="5">
        <f t="shared" si="49"/>
        <v>0.64</v>
      </c>
      <c r="T201" s="5">
        <f t="shared" si="50"/>
        <v>0</v>
      </c>
      <c r="U201">
        <f t="shared" si="51"/>
        <v>0</v>
      </c>
      <c r="V201">
        <f t="shared" si="52"/>
        <v>40</v>
      </c>
      <c r="W201" t="str">
        <f t="shared" si="53"/>
        <v xml:space="preserve">OTROS GASTOS EN PERSONAL                </v>
      </c>
      <c r="X201">
        <f t="shared" si="54"/>
        <v>24</v>
      </c>
      <c r="Y201" t="str">
        <f t="shared" si="55"/>
        <v xml:space="preserve"> </v>
      </c>
      <c r="AB201" t="str">
        <f t="shared" si="57"/>
        <v>OTROS GASTOS EN PERSONAL</v>
      </c>
    </row>
    <row r="202" spans="1:28" x14ac:dyDescent="0.25">
      <c r="A202" s="7">
        <v>5111501</v>
      </c>
      <c r="B202" s="7" t="s">
        <v>32</v>
      </c>
      <c r="C202">
        <v>42</v>
      </c>
      <c r="D202" s="11">
        <v>0.64</v>
      </c>
      <c r="E202" s="5"/>
      <c r="L202">
        <v>88888</v>
      </c>
      <c r="M202" s="2">
        <f t="shared" ref="M202:M239" si="58">+M201+1</f>
        <v>201</v>
      </c>
      <c r="N202" s="3">
        <f t="shared" ref="N202:N239" si="59">+A$1</f>
        <v>43677</v>
      </c>
      <c r="O202" t="s">
        <v>203</v>
      </c>
      <c r="P202">
        <f t="shared" si="56"/>
        <v>1028</v>
      </c>
      <c r="Q202" s="6">
        <f t="shared" ref="Q202:Q239" si="60">+C203</f>
        <v>43</v>
      </c>
      <c r="R202" s="5">
        <f t="shared" ref="R202:R239" si="61">+D203</f>
        <v>329291.76</v>
      </c>
      <c r="T202" s="5">
        <f t="shared" ref="T202:T239" si="62">+E203</f>
        <v>0</v>
      </c>
      <c r="U202">
        <f t="shared" ref="U202:U239" si="63">LEN(S202)</f>
        <v>0</v>
      </c>
      <c r="V202">
        <f t="shared" ref="V202:V239" si="64">LEN(O202)</f>
        <v>40</v>
      </c>
      <c r="W202" t="str">
        <f t="shared" ref="W202:W239" si="65">AB202 &amp; REPT(" ",(40-X202))</f>
        <v xml:space="preserve">SUELDOS                                 </v>
      </c>
      <c r="X202">
        <f t="shared" ref="X202:X239" si="66">LEN(AB202)</f>
        <v>7</v>
      </c>
      <c r="AB202" t="str">
        <f t="shared" si="57"/>
        <v>SUELDOS</v>
      </c>
    </row>
    <row r="203" spans="1:28" x14ac:dyDescent="0.25">
      <c r="A203" s="7">
        <v>5110501</v>
      </c>
      <c r="B203" s="7" t="s">
        <v>25</v>
      </c>
      <c r="C203">
        <v>43</v>
      </c>
      <c r="D203" s="11">
        <v>329291.76</v>
      </c>
      <c r="E203" s="10"/>
      <c r="L203">
        <v>88888</v>
      </c>
      <c r="M203" s="2">
        <f t="shared" si="58"/>
        <v>202</v>
      </c>
      <c r="N203" s="3">
        <f t="shared" si="59"/>
        <v>43677</v>
      </c>
      <c r="O203" t="s">
        <v>143</v>
      </c>
      <c r="P203">
        <f t="shared" si="56"/>
        <v>1029</v>
      </c>
      <c r="Q203" s="6">
        <f t="shared" si="60"/>
        <v>43</v>
      </c>
      <c r="R203" s="5">
        <f t="shared" si="61"/>
        <v>159490.14270980001</v>
      </c>
      <c r="T203" s="5">
        <f t="shared" si="62"/>
        <v>0</v>
      </c>
      <c r="U203">
        <f t="shared" si="63"/>
        <v>0</v>
      </c>
      <c r="V203">
        <f t="shared" si="64"/>
        <v>40</v>
      </c>
      <c r="W203" t="str">
        <f t="shared" si="65"/>
        <v xml:space="preserve">CARGAS SOCIALES                         </v>
      </c>
      <c r="X203">
        <f t="shared" si="66"/>
        <v>15</v>
      </c>
      <c r="AB203" t="str">
        <f t="shared" si="57"/>
        <v>CARGAS SOCIALES</v>
      </c>
    </row>
    <row r="204" spans="1:28" x14ac:dyDescent="0.25">
      <c r="A204" s="7">
        <v>5110502</v>
      </c>
      <c r="B204" s="7" t="s">
        <v>27</v>
      </c>
      <c r="C204">
        <v>43</v>
      </c>
      <c r="D204" s="11">
        <v>159490.14270980001</v>
      </c>
      <c r="E204" s="10"/>
      <c r="L204">
        <v>88888</v>
      </c>
      <c r="M204" s="2">
        <f t="shared" si="58"/>
        <v>203</v>
      </c>
      <c r="N204" s="3">
        <f t="shared" si="59"/>
        <v>43677</v>
      </c>
      <c r="O204" t="s">
        <v>302</v>
      </c>
      <c r="P204">
        <f t="shared" si="56"/>
        <v>2032</v>
      </c>
      <c r="Q204" s="6">
        <f t="shared" si="60"/>
        <v>43</v>
      </c>
      <c r="R204" s="5">
        <f t="shared" si="61"/>
        <v>179252.77</v>
      </c>
      <c r="T204" s="5">
        <f t="shared" si="62"/>
        <v>0</v>
      </c>
      <c r="U204">
        <f t="shared" si="63"/>
        <v>0</v>
      </c>
      <c r="V204">
        <f t="shared" si="64"/>
        <v>40</v>
      </c>
      <c r="W204" t="str">
        <f t="shared" si="65"/>
        <v xml:space="preserve">SAC                                     </v>
      </c>
      <c r="X204">
        <f t="shared" si="66"/>
        <v>3</v>
      </c>
      <c r="AB204" t="str">
        <f t="shared" si="57"/>
        <v>SAC</v>
      </c>
    </row>
    <row r="205" spans="1:28" x14ac:dyDescent="0.25">
      <c r="A205" s="7">
        <v>5110513</v>
      </c>
      <c r="B205" s="7" t="s">
        <v>274</v>
      </c>
      <c r="C205">
        <v>43</v>
      </c>
      <c r="D205" s="11">
        <v>179252.77</v>
      </c>
      <c r="E205" s="10"/>
      <c r="L205">
        <v>88888</v>
      </c>
      <c r="M205" s="2">
        <f t="shared" si="58"/>
        <v>204</v>
      </c>
      <c r="N205" s="3">
        <f t="shared" si="59"/>
        <v>43677</v>
      </c>
      <c r="O205" t="s">
        <v>289</v>
      </c>
      <c r="P205">
        <f t="shared" si="56"/>
        <v>2033</v>
      </c>
      <c r="Q205" s="6">
        <f t="shared" si="60"/>
        <v>43</v>
      </c>
      <c r="R205" s="5">
        <f t="shared" si="61"/>
        <v>4848.4799999999996</v>
      </c>
      <c r="T205" s="5">
        <f t="shared" si="62"/>
        <v>0</v>
      </c>
      <c r="U205">
        <f t="shared" si="63"/>
        <v>0</v>
      </c>
      <c r="V205">
        <f t="shared" si="64"/>
        <v>40</v>
      </c>
      <c r="W205" t="str">
        <f t="shared" si="65"/>
        <v xml:space="preserve">VACACIONES                              </v>
      </c>
      <c r="X205">
        <f t="shared" si="66"/>
        <v>10</v>
      </c>
      <c r="AB205" t="str">
        <f t="shared" si="57"/>
        <v>VACACIONES</v>
      </c>
    </row>
    <row r="206" spans="1:28" x14ac:dyDescent="0.25">
      <c r="A206" s="7">
        <v>5110514</v>
      </c>
      <c r="B206" s="7" t="s">
        <v>275</v>
      </c>
      <c r="C206">
        <v>43</v>
      </c>
      <c r="D206" s="11">
        <v>4848.4799999999996</v>
      </c>
      <c r="E206" s="10"/>
      <c r="L206">
        <v>88888</v>
      </c>
      <c r="M206" s="2">
        <f t="shared" si="58"/>
        <v>205</v>
      </c>
      <c r="N206" s="3">
        <f t="shared" si="59"/>
        <v>43677</v>
      </c>
      <c r="O206" t="s">
        <v>204</v>
      </c>
      <c r="P206">
        <f t="shared" si="56"/>
        <v>1081</v>
      </c>
      <c r="Q206" s="6">
        <f t="shared" si="60"/>
        <v>43</v>
      </c>
      <c r="R206" s="5">
        <f t="shared" si="61"/>
        <v>3</v>
      </c>
      <c r="T206" s="5">
        <f t="shared" si="62"/>
        <v>0</v>
      </c>
      <c r="U206">
        <f t="shared" si="63"/>
        <v>0</v>
      </c>
      <c r="V206">
        <f t="shared" si="64"/>
        <v>40</v>
      </c>
      <c r="W206" t="str">
        <f t="shared" si="65"/>
        <v xml:space="preserve">OTROS GASTOS EN PERSONAL                </v>
      </c>
      <c r="X206">
        <f t="shared" si="66"/>
        <v>24</v>
      </c>
      <c r="AB206" t="str">
        <f t="shared" si="57"/>
        <v>OTROS GASTOS EN PERSONAL</v>
      </c>
    </row>
    <row r="207" spans="1:28" x14ac:dyDescent="0.25">
      <c r="A207" s="7">
        <v>5111501</v>
      </c>
      <c r="B207" s="7" t="s">
        <v>32</v>
      </c>
      <c r="C207">
        <v>43</v>
      </c>
      <c r="D207" s="11">
        <v>3</v>
      </c>
      <c r="E207" s="10"/>
      <c r="L207">
        <v>88888</v>
      </c>
      <c r="M207" s="2">
        <f t="shared" si="58"/>
        <v>206</v>
      </c>
      <c r="N207" s="3">
        <f t="shared" si="59"/>
        <v>43677</v>
      </c>
      <c r="O207" t="s">
        <v>203</v>
      </c>
      <c r="P207">
        <f t="shared" si="56"/>
        <v>1028</v>
      </c>
      <c r="Q207" s="6">
        <f t="shared" si="60"/>
        <v>44</v>
      </c>
      <c r="R207" s="5">
        <f t="shared" si="61"/>
        <v>574697.98</v>
      </c>
      <c r="T207" s="5">
        <f t="shared" si="62"/>
        <v>0</v>
      </c>
      <c r="U207">
        <f t="shared" si="63"/>
        <v>0</v>
      </c>
      <c r="V207">
        <f t="shared" si="64"/>
        <v>40</v>
      </c>
      <c r="W207" t="str">
        <f t="shared" si="65"/>
        <v xml:space="preserve">SUELDOS                                 </v>
      </c>
      <c r="X207">
        <f t="shared" si="66"/>
        <v>7</v>
      </c>
      <c r="AB207" t="str">
        <f t="shared" si="57"/>
        <v>SUELDOS</v>
      </c>
    </row>
    <row r="208" spans="1:28" x14ac:dyDescent="0.25">
      <c r="A208" s="7">
        <v>5110501</v>
      </c>
      <c r="B208" s="7" t="s">
        <v>25</v>
      </c>
      <c r="C208">
        <v>44</v>
      </c>
      <c r="D208" s="11">
        <v>574697.98</v>
      </c>
      <c r="E208" s="10"/>
      <c r="L208">
        <v>88888</v>
      </c>
      <c r="M208" s="2">
        <f t="shared" si="58"/>
        <v>207</v>
      </c>
      <c r="N208" s="3">
        <f t="shared" si="59"/>
        <v>43677</v>
      </c>
      <c r="O208" t="s">
        <v>143</v>
      </c>
      <c r="P208">
        <f t="shared" si="56"/>
        <v>1029</v>
      </c>
      <c r="Q208" s="6">
        <f t="shared" si="60"/>
        <v>44</v>
      </c>
      <c r="R208" s="5">
        <f t="shared" si="61"/>
        <v>272491.90143319999</v>
      </c>
      <c r="T208" s="5">
        <f t="shared" si="62"/>
        <v>0</v>
      </c>
      <c r="U208">
        <f t="shared" si="63"/>
        <v>0</v>
      </c>
      <c r="V208">
        <f t="shared" si="64"/>
        <v>40</v>
      </c>
      <c r="W208" t="str">
        <f t="shared" si="65"/>
        <v xml:space="preserve">CARGAS SOCIALES                         </v>
      </c>
      <c r="X208">
        <f t="shared" si="66"/>
        <v>15</v>
      </c>
      <c r="AB208" t="str">
        <f t="shared" si="57"/>
        <v>CARGAS SOCIALES</v>
      </c>
    </row>
    <row r="209" spans="1:28" x14ac:dyDescent="0.25">
      <c r="A209" s="7">
        <v>5110502</v>
      </c>
      <c r="B209" s="7" t="s">
        <v>27</v>
      </c>
      <c r="C209">
        <v>44</v>
      </c>
      <c r="D209" s="11">
        <v>272491.90143319999</v>
      </c>
      <c r="E209" s="10"/>
      <c r="L209">
        <v>88888</v>
      </c>
      <c r="M209" s="2">
        <f t="shared" si="58"/>
        <v>208</v>
      </c>
      <c r="N209" s="3">
        <f t="shared" si="59"/>
        <v>43677</v>
      </c>
      <c r="O209" t="s">
        <v>302</v>
      </c>
      <c r="P209">
        <f t="shared" si="56"/>
        <v>2032</v>
      </c>
      <c r="Q209" s="6">
        <f t="shared" si="60"/>
        <v>44</v>
      </c>
      <c r="R209" s="5">
        <f t="shared" si="61"/>
        <v>383071.44</v>
      </c>
      <c r="T209" s="5">
        <f t="shared" si="62"/>
        <v>0</v>
      </c>
      <c r="U209">
        <f t="shared" si="63"/>
        <v>0</v>
      </c>
      <c r="V209">
        <f t="shared" si="64"/>
        <v>40</v>
      </c>
      <c r="W209" t="str">
        <f t="shared" si="65"/>
        <v xml:space="preserve">SAC                                     </v>
      </c>
      <c r="X209">
        <f t="shared" si="66"/>
        <v>3</v>
      </c>
      <c r="AB209" t="str">
        <f t="shared" si="57"/>
        <v>SAC</v>
      </c>
    </row>
    <row r="210" spans="1:28" x14ac:dyDescent="0.25">
      <c r="A210" s="7">
        <v>5110513</v>
      </c>
      <c r="B210" s="7" t="s">
        <v>274</v>
      </c>
      <c r="C210">
        <v>44</v>
      </c>
      <c r="D210" s="11">
        <v>383071.44</v>
      </c>
      <c r="E210" s="12"/>
      <c r="L210">
        <v>88888</v>
      </c>
      <c r="M210" s="2">
        <f t="shared" si="58"/>
        <v>209</v>
      </c>
      <c r="N210" s="3">
        <f t="shared" si="59"/>
        <v>43677</v>
      </c>
      <c r="O210" t="s">
        <v>288</v>
      </c>
      <c r="P210">
        <f t="shared" si="56"/>
        <v>2035</v>
      </c>
      <c r="Q210" s="6">
        <f t="shared" si="60"/>
        <v>44</v>
      </c>
      <c r="R210" s="5">
        <f t="shared" si="61"/>
        <v>159408.51</v>
      </c>
      <c r="T210" s="5">
        <f t="shared" si="62"/>
        <v>0</v>
      </c>
      <c r="U210">
        <f t="shared" si="63"/>
        <v>0</v>
      </c>
      <c r="V210">
        <f t="shared" si="64"/>
        <v>40</v>
      </c>
      <c r="W210" t="str">
        <f t="shared" si="65"/>
        <v xml:space="preserve">HORAS EXTRAS                            </v>
      </c>
      <c r="X210">
        <f t="shared" si="66"/>
        <v>12</v>
      </c>
      <c r="AB210" t="str">
        <f t="shared" si="57"/>
        <v>HORAS EXTRAS</v>
      </c>
    </row>
    <row r="211" spans="1:28" x14ac:dyDescent="0.25">
      <c r="A211" s="7">
        <v>5110516</v>
      </c>
      <c r="B211" s="7" t="s">
        <v>277</v>
      </c>
      <c r="C211">
        <v>44</v>
      </c>
      <c r="D211" s="11">
        <v>159408.51</v>
      </c>
      <c r="E211" s="10"/>
      <c r="L211">
        <v>88888</v>
      </c>
      <c r="M211" s="2">
        <f t="shared" si="58"/>
        <v>210</v>
      </c>
      <c r="N211" s="3">
        <f t="shared" si="59"/>
        <v>43677</v>
      </c>
      <c r="O211" t="s">
        <v>204</v>
      </c>
      <c r="P211">
        <f t="shared" si="56"/>
        <v>1081</v>
      </c>
      <c r="Q211" s="6">
        <f t="shared" si="60"/>
        <v>44</v>
      </c>
      <c r="R211" s="5">
        <f t="shared" si="61"/>
        <v>10428.879999999999</v>
      </c>
      <c r="T211" s="5">
        <f t="shared" si="62"/>
        <v>0</v>
      </c>
      <c r="U211">
        <f t="shared" si="63"/>
        <v>0</v>
      </c>
      <c r="V211">
        <f t="shared" si="64"/>
        <v>40</v>
      </c>
      <c r="W211" t="str">
        <f t="shared" si="65"/>
        <v xml:space="preserve">OTROS GASTOS EN PERSONAL                </v>
      </c>
      <c r="X211">
        <f t="shared" si="66"/>
        <v>24</v>
      </c>
      <c r="AB211" t="str">
        <f t="shared" si="57"/>
        <v>OTROS GASTOS EN PERSONAL</v>
      </c>
    </row>
    <row r="212" spans="1:28" x14ac:dyDescent="0.25">
      <c r="A212" s="7">
        <v>5111501</v>
      </c>
      <c r="B212" s="7" t="s">
        <v>32</v>
      </c>
      <c r="C212">
        <v>44</v>
      </c>
      <c r="D212" s="11">
        <v>10428.879999999999</v>
      </c>
      <c r="E212" s="10"/>
      <c r="L212">
        <v>88888</v>
      </c>
      <c r="M212" s="2">
        <f t="shared" si="58"/>
        <v>211</v>
      </c>
      <c r="N212" s="3">
        <f t="shared" si="59"/>
        <v>43677</v>
      </c>
      <c r="O212" t="s">
        <v>203</v>
      </c>
      <c r="P212">
        <f t="shared" si="56"/>
        <v>1028</v>
      </c>
      <c r="Q212" s="6">
        <f t="shared" si="60"/>
        <v>63</v>
      </c>
      <c r="R212" s="5">
        <f t="shared" si="61"/>
        <v>437744.42</v>
      </c>
      <c r="T212" s="5">
        <f t="shared" si="62"/>
        <v>0</v>
      </c>
      <c r="U212">
        <f t="shared" si="63"/>
        <v>0</v>
      </c>
      <c r="V212">
        <f t="shared" si="64"/>
        <v>40</v>
      </c>
      <c r="W212" t="str">
        <f t="shared" si="65"/>
        <v xml:space="preserve">SUELDOS                                 </v>
      </c>
      <c r="X212">
        <f t="shared" si="66"/>
        <v>7</v>
      </c>
      <c r="AB212" t="str">
        <f t="shared" si="57"/>
        <v>SUELDOS</v>
      </c>
    </row>
    <row r="213" spans="1:28" x14ac:dyDescent="0.25">
      <c r="A213" s="7">
        <v>5110501</v>
      </c>
      <c r="B213" s="7" t="s">
        <v>25</v>
      </c>
      <c r="C213">
        <v>63</v>
      </c>
      <c r="D213" s="11">
        <v>437744.42</v>
      </c>
      <c r="E213" s="10"/>
      <c r="L213">
        <v>88888</v>
      </c>
      <c r="M213" s="2">
        <f t="shared" si="58"/>
        <v>212</v>
      </c>
      <c r="N213" s="3">
        <f t="shared" si="59"/>
        <v>43677</v>
      </c>
      <c r="O213" t="s">
        <v>143</v>
      </c>
      <c r="P213">
        <f t="shared" si="56"/>
        <v>1029</v>
      </c>
      <c r="Q213" s="6">
        <f t="shared" si="60"/>
        <v>63</v>
      </c>
      <c r="R213" s="5">
        <f t="shared" si="61"/>
        <v>164715.74056820001</v>
      </c>
      <c r="T213" s="5">
        <f t="shared" si="62"/>
        <v>0</v>
      </c>
      <c r="U213">
        <f t="shared" si="63"/>
        <v>0</v>
      </c>
      <c r="V213">
        <f t="shared" si="64"/>
        <v>40</v>
      </c>
      <c r="W213" t="str">
        <f t="shared" si="65"/>
        <v xml:space="preserve">CARGAS SOCIALES                         </v>
      </c>
      <c r="X213">
        <f t="shared" si="66"/>
        <v>15</v>
      </c>
      <c r="AB213" t="str">
        <f t="shared" si="57"/>
        <v>CARGAS SOCIALES</v>
      </c>
    </row>
    <row r="214" spans="1:28" x14ac:dyDescent="0.25">
      <c r="A214" s="7">
        <v>5110502</v>
      </c>
      <c r="B214" s="7" t="s">
        <v>27</v>
      </c>
      <c r="C214">
        <v>63</v>
      </c>
      <c r="D214" s="11">
        <v>164715.74056820001</v>
      </c>
      <c r="E214" s="10"/>
      <c r="L214">
        <v>88888</v>
      </c>
      <c r="M214" s="2">
        <f t="shared" si="58"/>
        <v>213</v>
      </c>
      <c r="N214" s="3">
        <f t="shared" si="59"/>
        <v>43677</v>
      </c>
      <c r="O214" t="s">
        <v>302</v>
      </c>
      <c r="P214">
        <f t="shared" si="56"/>
        <v>2032</v>
      </c>
      <c r="Q214" s="6">
        <f t="shared" si="60"/>
        <v>63</v>
      </c>
      <c r="R214" s="5">
        <f t="shared" si="61"/>
        <v>243320.77</v>
      </c>
      <c r="T214" s="5">
        <f t="shared" si="62"/>
        <v>0</v>
      </c>
      <c r="U214">
        <f t="shared" si="63"/>
        <v>0</v>
      </c>
      <c r="V214">
        <f t="shared" si="64"/>
        <v>40</v>
      </c>
      <c r="W214" t="str">
        <f t="shared" si="65"/>
        <v xml:space="preserve">SAC                                     </v>
      </c>
      <c r="X214">
        <f t="shared" si="66"/>
        <v>3</v>
      </c>
      <c r="AB214" t="str">
        <f t="shared" si="57"/>
        <v>SAC</v>
      </c>
    </row>
    <row r="215" spans="1:28" x14ac:dyDescent="0.25">
      <c r="A215" s="7">
        <v>5110513</v>
      </c>
      <c r="B215" s="7" t="s">
        <v>274</v>
      </c>
      <c r="C215">
        <v>63</v>
      </c>
      <c r="D215" s="11">
        <v>243320.77</v>
      </c>
      <c r="E215" s="10"/>
      <c r="L215">
        <v>88888</v>
      </c>
      <c r="M215" s="2">
        <f t="shared" si="58"/>
        <v>214</v>
      </c>
      <c r="N215" s="3">
        <f t="shared" si="59"/>
        <v>43677</v>
      </c>
      <c r="O215" t="s">
        <v>288</v>
      </c>
      <c r="P215">
        <f t="shared" si="56"/>
        <v>2035</v>
      </c>
      <c r="Q215" s="6">
        <f t="shared" si="60"/>
        <v>63</v>
      </c>
      <c r="R215" s="5">
        <f t="shared" si="61"/>
        <v>12862.9</v>
      </c>
      <c r="T215" s="5">
        <f t="shared" si="62"/>
        <v>0</v>
      </c>
      <c r="U215">
        <f t="shared" si="63"/>
        <v>0</v>
      </c>
      <c r="V215">
        <f t="shared" si="64"/>
        <v>40</v>
      </c>
      <c r="W215" t="str">
        <f t="shared" si="65"/>
        <v xml:space="preserve">HORAS EXTRAS                            </v>
      </c>
      <c r="X215">
        <f t="shared" si="66"/>
        <v>12</v>
      </c>
      <c r="AB215" t="str">
        <f t="shared" si="57"/>
        <v>HORAS EXTRAS</v>
      </c>
    </row>
    <row r="216" spans="1:28" x14ac:dyDescent="0.25">
      <c r="A216" s="7">
        <v>5110516</v>
      </c>
      <c r="B216" s="7" t="s">
        <v>277</v>
      </c>
      <c r="C216">
        <v>63</v>
      </c>
      <c r="D216" s="11">
        <v>12862.9</v>
      </c>
      <c r="E216" s="10"/>
      <c r="L216">
        <v>88888</v>
      </c>
      <c r="M216" s="2">
        <f t="shared" si="58"/>
        <v>215</v>
      </c>
      <c r="N216" s="3">
        <f t="shared" si="59"/>
        <v>43677</v>
      </c>
      <c r="O216" t="s">
        <v>204</v>
      </c>
      <c r="P216">
        <f t="shared" si="56"/>
        <v>1081</v>
      </c>
      <c r="Q216" s="6">
        <f t="shared" si="60"/>
        <v>63</v>
      </c>
      <c r="R216" s="5">
        <f t="shared" si="61"/>
        <v>52900.45</v>
      </c>
      <c r="T216" s="5">
        <f t="shared" si="62"/>
        <v>0</v>
      </c>
      <c r="U216">
        <f t="shared" si="63"/>
        <v>0</v>
      </c>
      <c r="V216">
        <f t="shared" si="64"/>
        <v>40</v>
      </c>
      <c r="W216" t="str">
        <f t="shared" si="65"/>
        <v xml:space="preserve">OTROS GASTOS EN PERSONAL                </v>
      </c>
      <c r="X216">
        <f t="shared" si="66"/>
        <v>24</v>
      </c>
      <c r="AB216" t="str">
        <f t="shared" si="57"/>
        <v>OTROS GASTOS EN PERSONAL</v>
      </c>
    </row>
    <row r="217" spans="1:28" x14ac:dyDescent="0.25">
      <c r="A217" s="7">
        <v>5111501</v>
      </c>
      <c r="B217" s="7" t="s">
        <v>32</v>
      </c>
      <c r="C217">
        <v>63</v>
      </c>
      <c r="D217" s="11">
        <v>52900.45</v>
      </c>
      <c r="E217" s="10"/>
      <c r="L217">
        <v>88888</v>
      </c>
      <c r="M217" s="2">
        <f t="shared" si="58"/>
        <v>216</v>
      </c>
      <c r="N217" s="3">
        <f t="shared" si="59"/>
        <v>43677</v>
      </c>
      <c r="O217" t="s">
        <v>203</v>
      </c>
      <c r="P217">
        <f t="shared" si="56"/>
        <v>1028</v>
      </c>
      <c r="Q217" s="6">
        <f t="shared" si="60"/>
        <v>65</v>
      </c>
      <c r="R217" s="5">
        <f t="shared" si="61"/>
        <v>51822.94</v>
      </c>
      <c r="T217" s="5">
        <f t="shared" si="62"/>
        <v>0</v>
      </c>
      <c r="U217">
        <f t="shared" si="63"/>
        <v>0</v>
      </c>
      <c r="V217">
        <f t="shared" si="64"/>
        <v>40</v>
      </c>
      <c r="W217" t="str">
        <f t="shared" si="65"/>
        <v xml:space="preserve">SUELDOS                                 </v>
      </c>
      <c r="X217">
        <f t="shared" si="66"/>
        <v>7</v>
      </c>
      <c r="AB217" t="str">
        <f t="shared" si="57"/>
        <v>SUELDOS</v>
      </c>
    </row>
    <row r="218" spans="1:28" x14ac:dyDescent="0.25">
      <c r="A218" s="7">
        <v>5110501</v>
      </c>
      <c r="B218" s="7" t="s">
        <v>25</v>
      </c>
      <c r="C218">
        <v>65</v>
      </c>
      <c r="D218" s="11">
        <v>51822.94</v>
      </c>
      <c r="E218" s="12"/>
      <c r="L218">
        <v>88888</v>
      </c>
      <c r="M218" s="2">
        <f t="shared" si="58"/>
        <v>217</v>
      </c>
      <c r="N218" s="3">
        <f t="shared" si="59"/>
        <v>43677</v>
      </c>
      <c r="O218" t="s">
        <v>143</v>
      </c>
      <c r="P218">
        <f t="shared" si="56"/>
        <v>1029</v>
      </c>
      <c r="Q218" s="6">
        <f t="shared" si="60"/>
        <v>65</v>
      </c>
      <c r="R218" s="5">
        <f t="shared" si="61"/>
        <v>20715.872656</v>
      </c>
      <c r="T218" s="5">
        <f t="shared" si="62"/>
        <v>0</v>
      </c>
      <c r="U218">
        <f t="shared" si="63"/>
        <v>0</v>
      </c>
      <c r="V218">
        <f t="shared" si="64"/>
        <v>40</v>
      </c>
      <c r="W218" t="str">
        <f t="shared" si="65"/>
        <v xml:space="preserve">CARGAS SOCIALES                         </v>
      </c>
      <c r="X218">
        <f t="shared" si="66"/>
        <v>15</v>
      </c>
      <c r="AB218" t="str">
        <f t="shared" si="57"/>
        <v>CARGAS SOCIALES</v>
      </c>
    </row>
    <row r="219" spans="1:28" x14ac:dyDescent="0.25">
      <c r="A219" s="7">
        <v>5110502</v>
      </c>
      <c r="B219" s="7" t="s">
        <v>27</v>
      </c>
      <c r="C219">
        <v>65</v>
      </c>
      <c r="D219" s="11">
        <v>20715.872656</v>
      </c>
      <c r="E219" s="12"/>
      <c r="L219">
        <v>88888</v>
      </c>
      <c r="M219" s="2">
        <f t="shared" si="58"/>
        <v>218</v>
      </c>
      <c r="N219" s="3">
        <f t="shared" si="59"/>
        <v>43677</v>
      </c>
      <c r="O219" t="s">
        <v>302</v>
      </c>
      <c r="P219">
        <f t="shared" si="56"/>
        <v>2032</v>
      </c>
      <c r="Q219" s="6">
        <f t="shared" si="60"/>
        <v>65</v>
      </c>
      <c r="R219" s="5">
        <f t="shared" si="61"/>
        <v>28340.26</v>
      </c>
      <c r="T219" s="5">
        <f t="shared" si="62"/>
        <v>0</v>
      </c>
      <c r="U219">
        <f t="shared" si="63"/>
        <v>0</v>
      </c>
      <c r="V219">
        <f t="shared" si="64"/>
        <v>40</v>
      </c>
      <c r="W219" t="str">
        <f t="shared" si="65"/>
        <v xml:space="preserve">SAC                                     </v>
      </c>
      <c r="X219">
        <f t="shared" si="66"/>
        <v>3</v>
      </c>
      <c r="AB219" t="str">
        <f t="shared" si="57"/>
        <v>SAC</v>
      </c>
    </row>
    <row r="220" spans="1:28" x14ac:dyDescent="0.25">
      <c r="A220" s="7">
        <v>5110513</v>
      </c>
      <c r="B220" s="7" t="s">
        <v>274</v>
      </c>
      <c r="C220">
        <v>65</v>
      </c>
      <c r="D220" s="11">
        <v>28340.26</v>
      </c>
      <c r="E220" s="10"/>
      <c r="L220">
        <v>88888</v>
      </c>
      <c r="M220" s="2">
        <f t="shared" si="58"/>
        <v>219</v>
      </c>
      <c r="N220" s="3">
        <f t="shared" si="59"/>
        <v>43677</v>
      </c>
      <c r="O220" t="s">
        <v>204</v>
      </c>
      <c r="P220">
        <f t="shared" si="56"/>
        <v>1081</v>
      </c>
      <c r="Q220" s="6">
        <f t="shared" si="60"/>
        <v>65</v>
      </c>
      <c r="R220" s="5">
        <f t="shared" si="61"/>
        <v>3047.63</v>
      </c>
      <c r="T220" s="5">
        <f t="shared" si="62"/>
        <v>0</v>
      </c>
      <c r="U220">
        <f t="shared" si="63"/>
        <v>0</v>
      </c>
      <c r="V220">
        <f t="shared" si="64"/>
        <v>40</v>
      </c>
      <c r="W220" t="str">
        <f t="shared" si="65"/>
        <v xml:space="preserve">OTROS GASTOS EN PERSONAL                </v>
      </c>
      <c r="X220">
        <f t="shared" si="66"/>
        <v>24</v>
      </c>
      <c r="AB220" t="str">
        <f t="shared" si="57"/>
        <v>OTROS GASTOS EN PERSONAL</v>
      </c>
    </row>
    <row r="221" spans="1:28" x14ac:dyDescent="0.25">
      <c r="A221" s="7">
        <v>5111501</v>
      </c>
      <c r="B221" s="7" t="s">
        <v>32</v>
      </c>
      <c r="C221">
        <v>65</v>
      </c>
      <c r="D221" s="11">
        <v>3047.63</v>
      </c>
      <c r="E221" s="10"/>
      <c r="L221">
        <v>88888</v>
      </c>
      <c r="M221" s="2">
        <f t="shared" si="58"/>
        <v>220</v>
      </c>
      <c r="N221" s="3">
        <f t="shared" si="59"/>
        <v>43677</v>
      </c>
      <c r="O221" t="s">
        <v>281</v>
      </c>
      <c r="P221">
        <f t="shared" si="56"/>
        <v>1034</v>
      </c>
      <c r="Q221" s="6">
        <f t="shared" si="60"/>
        <v>2</v>
      </c>
      <c r="R221" s="5">
        <f t="shared" si="61"/>
        <v>11526.401850000002</v>
      </c>
      <c r="T221" s="5">
        <f t="shared" si="62"/>
        <v>0</v>
      </c>
      <c r="U221">
        <f t="shared" si="63"/>
        <v>0</v>
      </c>
      <c r="V221">
        <f t="shared" si="64"/>
        <v>40</v>
      </c>
      <c r="W221" t="str">
        <f t="shared" si="65"/>
        <v xml:space="preserve">PREVENCION RIESGO DE TRABAJO            </v>
      </c>
      <c r="X221">
        <f t="shared" si="66"/>
        <v>28</v>
      </c>
      <c r="AB221" t="str">
        <f t="shared" si="57"/>
        <v>PREVENCION RIESGO DE TRABAJO</v>
      </c>
    </row>
    <row r="222" spans="1:28" x14ac:dyDescent="0.25">
      <c r="A222" s="9">
        <v>5110507</v>
      </c>
      <c r="B222" s="9" t="s">
        <v>0</v>
      </c>
      <c r="C222">
        <v>2</v>
      </c>
      <c r="D222" s="10">
        <v>11526.401850000002</v>
      </c>
      <c r="E222" s="10"/>
      <c r="L222">
        <v>88888</v>
      </c>
      <c r="M222" s="2">
        <f t="shared" si="58"/>
        <v>221</v>
      </c>
      <c r="N222" s="3">
        <f t="shared" si="59"/>
        <v>43677</v>
      </c>
      <c r="O222" t="s">
        <v>281</v>
      </c>
      <c r="P222">
        <f t="shared" si="56"/>
        <v>1034</v>
      </c>
      <c r="Q222" s="6">
        <f t="shared" si="60"/>
        <v>3</v>
      </c>
      <c r="R222" s="5">
        <f t="shared" si="61"/>
        <v>32517.409250000004</v>
      </c>
      <c r="T222" s="5">
        <f t="shared" si="62"/>
        <v>0</v>
      </c>
      <c r="U222">
        <f t="shared" si="63"/>
        <v>0</v>
      </c>
      <c r="V222">
        <f t="shared" si="64"/>
        <v>40</v>
      </c>
      <c r="W222" t="str">
        <f t="shared" si="65"/>
        <v xml:space="preserve">PREVENCION RIESGO DE TRABAJO            </v>
      </c>
      <c r="X222">
        <f t="shared" si="66"/>
        <v>28</v>
      </c>
      <c r="AB222" t="str">
        <f t="shared" si="57"/>
        <v>PREVENCION RIESGO DE TRABAJO</v>
      </c>
    </row>
    <row r="223" spans="1:28" x14ac:dyDescent="0.25">
      <c r="A223" s="7">
        <v>5110507</v>
      </c>
      <c r="B223" s="7" t="s">
        <v>0</v>
      </c>
      <c r="C223">
        <v>3</v>
      </c>
      <c r="D223" s="11">
        <v>32517.409250000004</v>
      </c>
      <c r="E223" s="10"/>
      <c r="L223">
        <v>88888</v>
      </c>
      <c r="M223" s="2">
        <f t="shared" si="58"/>
        <v>222</v>
      </c>
      <c r="N223" s="3">
        <f t="shared" si="59"/>
        <v>43677</v>
      </c>
      <c r="O223" t="s">
        <v>281</v>
      </c>
      <c r="P223">
        <f t="shared" si="56"/>
        <v>1034</v>
      </c>
      <c r="Q223" s="6">
        <f t="shared" si="60"/>
        <v>4</v>
      </c>
      <c r="R223" s="5">
        <f t="shared" si="61"/>
        <v>4134.6097499999996</v>
      </c>
      <c r="T223" s="5">
        <f t="shared" si="62"/>
        <v>0</v>
      </c>
      <c r="U223">
        <f t="shared" si="63"/>
        <v>0</v>
      </c>
      <c r="V223">
        <f t="shared" si="64"/>
        <v>40</v>
      </c>
      <c r="W223" t="str">
        <f t="shared" si="65"/>
        <v xml:space="preserve">PREVENCION RIESGO DE TRABAJO            </v>
      </c>
      <c r="X223">
        <f t="shared" si="66"/>
        <v>28</v>
      </c>
      <c r="AB223" t="str">
        <f t="shared" si="57"/>
        <v>PREVENCION RIESGO DE TRABAJO</v>
      </c>
    </row>
    <row r="224" spans="1:28" x14ac:dyDescent="0.25">
      <c r="A224">
        <v>5110507</v>
      </c>
      <c r="B224" t="s">
        <v>0</v>
      </c>
      <c r="C224">
        <v>4</v>
      </c>
      <c r="D224">
        <v>4134.6097499999996</v>
      </c>
      <c r="L224">
        <v>88888</v>
      </c>
      <c r="M224" s="2">
        <f t="shared" si="58"/>
        <v>223</v>
      </c>
      <c r="N224" s="3">
        <f t="shared" si="59"/>
        <v>43677</v>
      </c>
      <c r="O224" t="s">
        <v>281</v>
      </c>
      <c r="P224">
        <f t="shared" si="56"/>
        <v>1034</v>
      </c>
      <c r="Q224" s="6">
        <f t="shared" si="60"/>
        <v>5</v>
      </c>
      <c r="R224" s="5">
        <f t="shared" si="61"/>
        <v>43035.917700000005</v>
      </c>
      <c r="T224" s="5">
        <f t="shared" si="62"/>
        <v>0</v>
      </c>
      <c r="U224">
        <f t="shared" si="63"/>
        <v>0</v>
      </c>
      <c r="V224">
        <f t="shared" si="64"/>
        <v>40</v>
      </c>
      <c r="W224" t="str">
        <f t="shared" si="65"/>
        <v xml:space="preserve">PREVENCION RIESGO DE TRABAJO            </v>
      </c>
      <c r="X224">
        <f t="shared" si="66"/>
        <v>28</v>
      </c>
      <c r="AB224" t="str">
        <f t="shared" si="57"/>
        <v>PREVENCION RIESGO DE TRABAJO</v>
      </c>
    </row>
    <row r="225" spans="1:28" x14ac:dyDescent="0.25">
      <c r="A225">
        <v>5110507</v>
      </c>
      <c r="B225" t="s">
        <v>0</v>
      </c>
      <c r="C225">
        <v>5</v>
      </c>
      <c r="D225">
        <v>43035.917700000005</v>
      </c>
      <c r="L225">
        <v>88888</v>
      </c>
      <c r="M225" s="2">
        <f t="shared" si="58"/>
        <v>224</v>
      </c>
      <c r="N225" s="3">
        <f t="shared" si="59"/>
        <v>43677</v>
      </c>
      <c r="O225" t="s">
        <v>281</v>
      </c>
      <c r="P225">
        <f t="shared" si="56"/>
        <v>1034</v>
      </c>
      <c r="Q225" s="6">
        <f t="shared" si="60"/>
        <v>6</v>
      </c>
      <c r="R225" s="5">
        <f t="shared" si="61"/>
        <v>13511.09916</v>
      </c>
      <c r="T225" s="5">
        <f t="shared" si="62"/>
        <v>0</v>
      </c>
      <c r="U225">
        <f t="shared" si="63"/>
        <v>0</v>
      </c>
      <c r="V225">
        <f t="shared" si="64"/>
        <v>40</v>
      </c>
      <c r="W225" t="str">
        <f t="shared" si="65"/>
        <v xml:space="preserve">PREVENCION RIESGO DE TRABAJO            </v>
      </c>
      <c r="X225">
        <f t="shared" si="66"/>
        <v>28</v>
      </c>
      <c r="AB225" t="str">
        <f t="shared" si="57"/>
        <v>PREVENCION RIESGO DE TRABAJO</v>
      </c>
    </row>
    <row r="226" spans="1:28" x14ac:dyDescent="0.25">
      <c r="A226">
        <v>5110507</v>
      </c>
      <c r="B226" t="s">
        <v>0</v>
      </c>
      <c r="C226">
        <v>6</v>
      </c>
      <c r="D226">
        <v>13511.09916</v>
      </c>
      <c r="L226">
        <v>88888</v>
      </c>
      <c r="M226" s="2">
        <f t="shared" si="58"/>
        <v>225</v>
      </c>
      <c r="N226" s="3">
        <f t="shared" si="59"/>
        <v>43677</v>
      </c>
      <c r="O226" t="s">
        <v>281</v>
      </c>
      <c r="P226">
        <f t="shared" si="56"/>
        <v>1034</v>
      </c>
      <c r="Q226" s="6">
        <f t="shared" si="60"/>
        <v>7</v>
      </c>
      <c r="R226" s="5">
        <f t="shared" si="61"/>
        <v>14333.013890000002</v>
      </c>
      <c r="T226" s="5">
        <f t="shared" si="62"/>
        <v>0</v>
      </c>
      <c r="U226">
        <f t="shared" si="63"/>
        <v>0</v>
      </c>
      <c r="V226">
        <f t="shared" si="64"/>
        <v>40</v>
      </c>
      <c r="W226" t="str">
        <f t="shared" si="65"/>
        <v xml:space="preserve">PREVENCION RIESGO DE TRABAJO            </v>
      </c>
      <c r="X226">
        <f t="shared" si="66"/>
        <v>28</v>
      </c>
      <c r="AB226" t="str">
        <f t="shared" si="57"/>
        <v>PREVENCION RIESGO DE TRABAJO</v>
      </c>
    </row>
    <row r="227" spans="1:28" x14ac:dyDescent="0.25">
      <c r="A227">
        <v>5110507</v>
      </c>
      <c r="B227" t="s">
        <v>0</v>
      </c>
      <c r="C227">
        <v>7</v>
      </c>
      <c r="D227">
        <v>14333.013890000002</v>
      </c>
      <c r="L227">
        <v>88888</v>
      </c>
      <c r="M227" s="2">
        <f t="shared" si="58"/>
        <v>226</v>
      </c>
      <c r="N227" s="3">
        <f t="shared" si="59"/>
        <v>43677</v>
      </c>
      <c r="O227" t="s">
        <v>281</v>
      </c>
      <c r="P227">
        <f t="shared" si="56"/>
        <v>1034</v>
      </c>
      <c r="Q227" s="6">
        <f t="shared" si="60"/>
        <v>8</v>
      </c>
      <c r="R227" s="5">
        <f t="shared" si="61"/>
        <v>6668.0513799999999</v>
      </c>
      <c r="T227" s="5">
        <f t="shared" si="62"/>
        <v>0</v>
      </c>
      <c r="U227">
        <f t="shared" si="63"/>
        <v>0</v>
      </c>
      <c r="V227">
        <f t="shared" si="64"/>
        <v>40</v>
      </c>
      <c r="W227" t="str">
        <f t="shared" si="65"/>
        <v xml:space="preserve">PREVENCION RIESGO DE TRABAJO            </v>
      </c>
      <c r="X227">
        <f t="shared" si="66"/>
        <v>28</v>
      </c>
      <c r="AB227" t="str">
        <f t="shared" si="57"/>
        <v>PREVENCION RIESGO DE TRABAJO</v>
      </c>
    </row>
    <row r="228" spans="1:28" x14ac:dyDescent="0.25">
      <c r="A228">
        <v>5110507</v>
      </c>
      <c r="B228" t="s">
        <v>0</v>
      </c>
      <c r="C228">
        <v>8</v>
      </c>
      <c r="D228">
        <v>6668.0513799999999</v>
      </c>
      <c r="L228">
        <v>88888</v>
      </c>
      <c r="M228" s="2">
        <f t="shared" si="58"/>
        <v>227</v>
      </c>
      <c r="N228" s="3">
        <f t="shared" si="59"/>
        <v>43677</v>
      </c>
      <c r="O228" t="s">
        <v>281</v>
      </c>
      <c r="P228">
        <f t="shared" si="56"/>
        <v>1034</v>
      </c>
      <c r="Q228" s="6">
        <f t="shared" si="60"/>
        <v>9</v>
      </c>
      <c r="R228" s="5">
        <f t="shared" si="61"/>
        <v>11214.306670000002</v>
      </c>
      <c r="T228" s="5">
        <f t="shared" si="62"/>
        <v>0</v>
      </c>
      <c r="U228">
        <f t="shared" si="63"/>
        <v>0</v>
      </c>
      <c r="V228">
        <f t="shared" si="64"/>
        <v>40</v>
      </c>
      <c r="W228" t="str">
        <f t="shared" si="65"/>
        <v xml:space="preserve">PREVENCION RIESGO DE TRABAJO            </v>
      </c>
      <c r="X228">
        <f t="shared" si="66"/>
        <v>28</v>
      </c>
      <c r="AB228" t="str">
        <f t="shared" si="57"/>
        <v>PREVENCION RIESGO DE TRABAJO</v>
      </c>
    </row>
    <row r="229" spans="1:28" x14ac:dyDescent="0.25">
      <c r="A229">
        <v>5110507</v>
      </c>
      <c r="B229" t="s">
        <v>0</v>
      </c>
      <c r="C229">
        <v>9</v>
      </c>
      <c r="D229">
        <v>11214.306670000002</v>
      </c>
      <c r="L229">
        <v>88888</v>
      </c>
      <c r="M229" s="2">
        <f t="shared" si="58"/>
        <v>228</v>
      </c>
      <c r="N229" s="3">
        <f t="shared" si="59"/>
        <v>43677</v>
      </c>
      <c r="O229" t="s">
        <v>281</v>
      </c>
      <c r="P229">
        <f t="shared" si="56"/>
        <v>1034</v>
      </c>
      <c r="Q229" s="6">
        <f t="shared" si="60"/>
        <v>10</v>
      </c>
      <c r="R229" s="5">
        <f t="shared" si="61"/>
        <v>12255.26643</v>
      </c>
      <c r="T229" s="5">
        <f t="shared" si="62"/>
        <v>0</v>
      </c>
      <c r="U229">
        <f t="shared" si="63"/>
        <v>0</v>
      </c>
      <c r="V229">
        <f t="shared" si="64"/>
        <v>40</v>
      </c>
      <c r="W229" t="str">
        <f t="shared" si="65"/>
        <v xml:space="preserve">PREVENCION RIESGO DE TRABAJO            </v>
      </c>
      <c r="X229">
        <f t="shared" si="66"/>
        <v>28</v>
      </c>
      <c r="AB229" t="str">
        <f t="shared" si="57"/>
        <v>PREVENCION RIESGO DE TRABAJO</v>
      </c>
    </row>
    <row r="230" spans="1:28" x14ac:dyDescent="0.25">
      <c r="A230">
        <v>5110507</v>
      </c>
      <c r="B230" t="s">
        <v>0</v>
      </c>
      <c r="C230">
        <v>10</v>
      </c>
      <c r="D230">
        <v>12255.26643</v>
      </c>
      <c r="L230">
        <v>88888</v>
      </c>
      <c r="M230" s="2">
        <f t="shared" si="58"/>
        <v>229</v>
      </c>
      <c r="N230" s="3">
        <f t="shared" si="59"/>
        <v>43677</v>
      </c>
      <c r="O230" t="s">
        <v>281</v>
      </c>
      <c r="P230">
        <f t="shared" si="56"/>
        <v>1034</v>
      </c>
      <c r="Q230" s="6">
        <f t="shared" si="60"/>
        <v>11</v>
      </c>
      <c r="R230" s="5">
        <f t="shared" si="61"/>
        <v>21358.35255</v>
      </c>
      <c r="T230" s="5">
        <f t="shared" si="62"/>
        <v>0</v>
      </c>
      <c r="U230">
        <f t="shared" si="63"/>
        <v>0</v>
      </c>
      <c r="V230">
        <f t="shared" si="64"/>
        <v>40</v>
      </c>
      <c r="W230" t="str">
        <f t="shared" si="65"/>
        <v xml:space="preserve">PREVENCION RIESGO DE TRABAJO            </v>
      </c>
      <c r="X230">
        <f t="shared" si="66"/>
        <v>28</v>
      </c>
      <c r="AB230" t="str">
        <f t="shared" si="57"/>
        <v>PREVENCION RIESGO DE TRABAJO</v>
      </c>
    </row>
    <row r="231" spans="1:28" x14ac:dyDescent="0.25">
      <c r="A231">
        <v>5110507</v>
      </c>
      <c r="B231" t="s">
        <v>0</v>
      </c>
      <c r="C231">
        <v>11</v>
      </c>
      <c r="D231">
        <v>21358.35255</v>
      </c>
      <c r="L231">
        <v>88888</v>
      </c>
      <c r="M231" s="2">
        <f t="shared" si="58"/>
        <v>230</v>
      </c>
      <c r="N231" s="3">
        <f t="shared" si="59"/>
        <v>43677</v>
      </c>
      <c r="O231" t="s">
        <v>281</v>
      </c>
      <c r="P231">
        <f t="shared" si="56"/>
        <v>1034</v>
      </c>
      <c r="Q231" s="6">
        <f t="shared" si="60"/>
        <v>12</v>
      </c>
      <c r="R231" s="5">
        <f t="shared" si="61"/>
        <v>3664.2554499999997</v>
      </c>
      <c r="T231" s="5">
        <f t="shared" si="62"/>
        <v>0</v>
      </c>
      <c r="U231">
        <f t="shared" si="63"/>
        <v>0</v>
      </c>
      <c r="V231">
        <f t="shared" si="64"/>
        <v>40</v>
      </c>
      <c r="W231" t="str">
        <f t="shared" si="65"/>
        <v xml:space="preserve">PREVENCION RIESGO DE TRABAJO            </v>
      </c>
      <c r="X231">
        <f t="shared" si="66"/>
        <v>28</v>
      </c>
      <c r="AB231" t="str">
        <f t="shared" si="57"/>
        <v>PREVENCION RIESGO DE TRABAJO</v>
      </c>
    </row>
    <row r="232" spans="1:28" x14ac:dyDescent="0.25">
      <c r="A232">
        <v>5110507</v>
      </c>
      <c r="B232" t="s">
        <v>0</v>
      </c>
      <c r="C232">
        <v>12</v>
      </c>
      <c r="D232">
        <v>3664.2554499999997</v>
      </c>
      <c r="L232">
        <v>88888</v>
      </c>
      <c r="M232" s="2">
        <f t="shared" si="58"/>
        <v>231</v>
      </c>
      <c r="N232" s="3">
        <f t="shared" si="59"/>
        <v>43677</v>
      </c>
      <c r="O232" t="s">
        <v>281</v>
      </c>
      <c r="P232">
        <f t="shared" si="56"/>
        <v>1034</v>
      </c>
      <c r="Q232" s="6">
        <f t="shared" si="60"/>
        <v>14</v>
      </c>
      <c r="R232" s="5">
        <f t="shared" si="61"/>
        <v>7405.396490000001</v>
      </c>
      <c r="T232" s="5">
        <f t="shared" si="62"/>
        <v>0</v>
      </c>
      <c r="U232">
        <f t="shared" si="63"/>
        <v>0</v>
      </c>
      <c r="V232">
        <f t="shared" si="64"/>
        <v>40</v>
      </c>
      <c r="W232" t="str">
        <f t="shared" si="65"/>
        <v xml:space="preserve">PREVENCION RIESGO DE TRABAJO            </v>
      </c>
      <c r="X232">
        <f t="shared" si="66"/>
        <v>28</v>
      </c>
      <c r="AB232" t="str">
        <f t="shared" si="57"/>
        <v>PREVENCION RIESGO DE TRABAJO</v>
      </c>
    </row>
    <row r="233" spans="1:28" x14ac:dyDescent="0.25">
      <c r="A233">
        <v>5110507</v>
      </c>
      <c r="B233" t="s">
        <v>0</v>
      </c>
      <c r="C233">
        <v>14</v>
      </c>
      <c r="D233">
        <v>7405.396490000001</v>
      </c>
      <c r="L233">
        <v>88888</v>
      </c>
      <c r="M233" s="2">
        <f t="shared" si="58"/>
        <v>232</v>
      </c>
      <c r="N233" s="3">
        <f t="shared" si="59"/>
        <v>43677</v>
      </c>
      <c r="O233" t="s">
        <v>281</v>
      </c>
      <c r="P233">
        <f t="shared" si="56"/>
        <v>1034</v>
      </c>
      <c r="Q233" s="6">
        <f t="shared" si="60"/>
        <v>15</v>
      </c>
      <c r="R233" s="5">
        <f t="shared" si="61"/>
        <v>16470.776419999998</v>
      </c>
      <c r="T233" s="5">
        <f t="shared" si="62"/>
        <v>0</v>
      </c>
      <c r="U233">
        <f t="shared" si="63"/>
        <v>0</v>
      </c>
      <c r="V233">
        <f t="shared" si="64"/>
        <v>40</v>
      </c>
      <c r="W233" t="str">
        <f t="shared" si="65"/>
        <v xml:space="preserve">PREVENCION RIESGO DE TRABAJO            </v>
      </c>
      <c r="X233">
        <f t="shared" si="66"/>
        <v>28</v>
      </c>
      <c r="AB233" t="str">
        <f t="shared" si="57"/>
        <v>PREVENCION RIESGO DE TRABAJO</v>
      </c>
    </row>
    <row r="234" spans="1:28" x14ac:dyDescent="0.25">
      <c r="A234">
        <v>5110507</v>
      </c>
      <c r="B234" t="s">
        <v>0</v>
      </c>
      <c r="C234">
        <v>15</v>
      </c>
      <c r="D234">
        <v>16470.776419999998</v>
      </c>
      <c r="L234">
        <v>88888</v>
      </c>
      <c r="M234" s="2">
        <f t="shared" si="58"/>
        <v>233</v>
      </c>
      <c r="N234" s="3">
        <f t="shared" si="59"/>
        <v>43677</v>
      </c>
      <c r="O234" t="s">
        <v>281</v>
      </c>
      <c r="P234">
        <f t="shared" si="56"/>
        <v>1034</v>
      </c>
      <c r="Q234" s="6">
        <f t="shared" si="60"/>
        <v>16</v>
      </c>
      <c r="R234" s="5">
        <f t="shared" si="61"/>
        <v>3490.9538100000004</v>
      </c>
      <c r="T234" s="5">
        <f t="shared" si="62"/>
        <v>0</v>
      </c>
      <c r="U234">
        <f t="shared" si="63"/>
        <v>0</v>
      </c>
      <c r="V234">
        <f t="shared" si="64"/>
        <v>40</v>
      </c>
      <c r="W234" t="str">
        <f t="shared" si="65"/>
        <v xml:space="preserve">PREVENCION RIESGO DE TRABAJO            </v>
      </c>
      <c r="X234">
        <f t="shared" si="66"/>
        <v>28</v>
      </c>
      <c r="AB234" t="str">
        <f t="shared" si="57"/>
        <v>PREVENCION RIESGO DE TRABAJO</v>
      </c>
    </row>
    <row r="235" spans="1:28" x14ac:dyDescent="0.25">
      <c r="A235">
        <v>5110507</v>
      </c>
      <c r="B235" t="s">
        <v>0</v>
      </c>
      <c r="C235">
        <v>16</v>
      </c>
      <c r="D235">
        <v>3490.9538100000004</v>
      </c>
      <c r="L235">
        <v>88888</v>
      </c>
      <c r="M235" s="2">
        <f t="shared" si="58"/>
        <v>234</v>
      </c>
      <c r="N235" s="3">
        <f t="shared" si="59"/>
        <v>43677</v>
      </c>
      <c r="O235" t="s">
        <v>281</v>
      </c>
      <c r="P235">
        <f t="shared" si="56"/>
        <v>1034</v>
      </c>
      <c r="Q235" s="6">
        <f t="shared" si="60"/>
        <v>17</v>
      </c>
      <c r="R235" s="5">
        <f t="shared" si="61"/>
        <v>15776.131799999999</v>
      </c>
      <c r="T235" s="5">
        <f t="shared" si="62"/>
        <v>0</v>
      </c>
      <c r="U235">
        <f t="shared" si="63"/>
        <v>0</v>
      </c>
      <c r="V235">
        <f t="shared" si="64"/>
        <v>40</v>
      </c>
      <c r="W235" t="str">
        <f t="shared" si="65"/>
        <v xml:space="preserve">PREVENCION RIESGO DE TRABAJO            </v>
      </c>
      <c r="X235">
        <f t="shared" si="66"/>
        <v>28</v>
      </c>
      <c r="AB235" t="str">
        <f t="shared" si="57"/>
        <v>PREVENCION RIESGO DE TRABAJO</v>
      </c>
    </row>
    <row r="236" spans="1:28" x14ac:dyDescent="0.25">
      <c r="A236">
        <v>5110507</v>
      </c>
      <c r="B236" t="s">
        <v>0</v>
      </c>
      <c r="C236">
        <v>17</v>
      </c>
      <c r="D236">
        <v>15776.131799999999</v>
      </c>
      <c r="L236">
        <v>88888</v>
      </c>
      <c r="M236" s="2">
        <f t="shared" si="58"/>
        <v>235</v>
      </c>
      <c r="N236" s="3">
        <f t="shared" si="59"/>
        <v>43677</v>
      </c>
      <c r="O236" t="s">
        <v>281</v>
      </c>
      <c r="P236">
        <f t="shared" si="56"/>
        <v>1034</v>
      </c>
      <c r="Q236" s="6">
        <f t="shared" si="60"/>
        <v>18</v>
      </c>
      <c r="R236" s="5">
        <f t="shared" si="61"/>
        <v>48241.508239999996</v>
      </c>
      <c r="T236" s="5">
        <f t="shared" si="62"/>
        <v>0</v>
      </c>
      <c r="U236">
        <f t="shared" si="63"/>
        <v>0</v>
      </c>
      <c r="V236">
        <f t="shared" si="64"/>
        <v>40</v>
      </c>
      <c r="W236" t="str">
        <f t="shared" si="65"/>
        <v xml:space="preserve">PREVENCION RIESGO DE TRABAJO            </v>
      </c>
      <c r="X236">
        <f t="shared" si="66"/>
        <v>28</v>
      </c>
      <c r="AB236" t="str">
        <f t="shared" si="57"/>
        <v>PREVENCION RIESGO DE TRABAJO</v>
      </c>
    </row>
    <row r="237" spans="1:28" x14ac:dyDescent="0.25">
      <c r="A237">
        <v>5110507</v>
      </c>
      <c r="B237" t="s">
        <v>0</v>
      </c>
      <c r="C237">
        <v>18</v>
      </c>
      <c r="D237">
        <v>48241.508239999996</v>
      </c>
      <c r="L237">
        <v>88888</v>
      </c>
      <c r="M237" s="2">
        <f t="shared" si="58"/>
        <v>236</v>
      </c>
      <c r="N237" s="3">
        <f t="shared" si="59"/>
        <v>43677</v>
      </c>
      <c r="O237" t="s">
        <v>281</v>
      </c>
      <c r="P237">
        <f t="shared" si="56"/>
        <v>1034</v>
      </c>
      <c r="Q237" s="6">
        <f t="shared" si="60"/>
        <v>19</v>
      </c>
      <c r="R237" s="5">
        <f t="shared" si="61"/>
        <v>2979.5013300000005</v>
      </c>
      <c r="T237" s="5">
        <f t="shared" si="62"/>
        <v>0</v>
      </c>
      <c r="U237">
        <f t="shared" si="63"/>
        <v>0</v>
      </c>
      <c r="V237">
        <f t="shared" si="64"/>
        <v>40</v>
      </c>
      <c r="W237" t="str">
        <f t="shared" si="65"/>
        <v xml:space="preserve">PREVENCION RIESGO DE TRABAJO            </v>
      </c>
      <c r="X237">
        <f t="shared" si="66"/>
        <v>28</v>
      </c>
      <c r="AB237" t="str">
        <f t="shared" si="57"/>
        <v>PREVENCION RIESGO DE TRABAJO</v>
      </c>
    </row>
    <row r="238" spans="1:28" x14ac:dyDescent="0.25">
      <c r="A238">
        <v>5110507</v>
      </c>
      <c r="B238" t="s">
        <v>0</v>
      </c>
      <c r="C238">
        <v>19</v>
      </c>
      <c r="D238">
        <v>2979.5013300000005</v>
      </c>
      <c r="L238">
        <v>88888</v>
      </c>
      <c r="M238" s="2">
        <f t="shared" si="58"/>
        <v>237</v>
      </c>
      <c r="N238" s="3">
        <f t="shared" si="59"/>
        <v>43677</v>
      </c>
      <c r="O238" t="s">
        <v>281</v>
      </c>
      <c r="P238">
        <f t="shared" si="56"/>
        <v>1034</v>
      </c>
      <c r="Q238" s="6">
        <f t="shared" si="60"/>
        <v>20</v>
      </c>
      <c r="R238" s="5">
        <f t="shared" si="61"/>
        <v>16140.152050000002</v>
      </c>
      <c r="T238" s="5">
        <f t="shared" si="62"/>
        <v>0</v>
      </c>
      <c r="U238">
        <f t="shared" si="63"/>
        <v>0</v>
      </c>
      <c r="V238">
        <f t="shared" si="64"/>
        <v>40</v>
      </c>
      <c r="W238" t="str">
        <f t="shared" si="65"/>
        <v xml:space="preserve">PREVENCION RIESGO DE TRABAJO            </v>
      </c>
      <c r="X238">
        <f t="shared" si="66"/>
        <v>28</v>
      </c>
      <c r="AB238" t="str">
        <f t="shared" si="57"/>
        <v>PREVENCION RIESGO DE TRABAJO</v>
      </c>
    </row>
    <row r="239" spans="1:28" x14ac:dyDescent="0.25">
      <c r="A239">
        <v>5110507</v>
      </c>
      <c r="B239" t="s">
        <v>0</v>
      </c>
      <c r="C239">
        <v>20</v>
      </c>
      <c r="D239">
        <v>16140.152050000002</v>
      </c>
      <c r="L239">
        <v>88888</v>
      </c>
      <c r="M239" s="2">
        <f t="shared" si="58"/>
        <v>238</v>
      </c>
      <c r="N239" s="3">
        <f t="shared" si="59"/>
        <v>43677</v>
      </c>
      <c r="O239" t="s">
        <v>281</v>
      </c>
      <c r="P239">
        <f t="shared" si="56"/>
        <v>1034</v>
      </c>
      <c r="Q239" s="6">
        <f t="shared" si="60"/>
        <v>21</v>
      </c>
      <c r="R239" s="5">
        <f t="shared" si="61"/>
        <v>25299.285379999998</v>
      </c>
      <c r="T239" s="5">
        <f t="shared" si="62"/>
        <v>0</v>
      </c>
      <c r="U239">
        <f t="shared" si="63"/>
        <v>0</v>
      </c>
      <c r="V239">
        <f t="shared" si="64"/>
        <v>40</v>
      </c>
      <c r="W239" t="str">
        <f t="shared" si="65"/>
        <v xml:space="preserve">PREVENCION RIESGO DE TRABAJO            </v>
      </c>
      <c r="X239">
        <f t="shared" si="66"/>
        <v>28</v>
      </c>
      <c r="AB239" t="str">
        <f t="shared" si="57"/>
        <v>PREVENCION RIESGO DE TRABAJO</v>
      </c>
    </row>
    <row r="240" spans="1:28" x14ac:dyDescent="0.25">
      <c r="A240">
        <v>5110507</v>
      </c>
      <c r="B240" t="s">
        <v>0</v>
      </c>
      <c r="C240">
        <v>21</v>
      </c>
      <c r="D240">
        <v>25299.285379999998</v>
      </c>
      <c r="L240">
        <v>88888</v>
      </c>
      <c r="M240" s="2">
        <f t="shared" ref="M240:M303" si="67">+M239+1</f>
        <v>239</v>
      </c>
      <c r="N240" s="3">
        <f t="shared" ref="N240:N303" si="68">+A$1</f>
        <v>43677</v>
      </c>
      <c r="O240" t="s">
        <v>281</v>
      </c>
      <c r="P240">
        <f t="shared" si="56"/>
        <v>1034</v>
      </c>
      <c r="Q240" s="6">
        <f t="shared" ref="Q240:Q303" si="69">+C241</f>
        <v>22</v>
      </c>
      <c r="R240" s="5">
        <f t="shared" ref="R240:R303" si="70">+D241</f>
        <v>35594.28302000001</v>
      </c>
      <c r="T240" s="5">
        <f t="shared" ref="T240:T303" si="71">+E241</f>
        <v>0</v>
      </c>
      <c r="U240">
        <f t="shared" ref="U240:U303" si="72">LEN(S240)</f>
        <v>0</v>
      </c>
      <c r="V240">
        <f t="shared" ref="V240:V303" si="73">LEN(O240)</f>
        <v>40</v>
      </c>
      <c r="W240" t="str">
        <f t="shared" ref="W240:W303" si="74">AB240 &amp; REPT(" ",(40-X240))</f>
        <v xml:space="preserve">PREVENCION RIESGO DE TRABAJO            </v>
      </c>
      <c r="X240">
        <f t="shared" ref="X240:X303" si="75">LEN(AB240)</f>
        <v>28</v>
      </c>
      <c r="AB240" t="str">
        <f t="shared" si="57"/>
        <v>PREVENCION RIESGO DE TRABAJO</v>
      </c>
    </row>
    <row r="241" spans="1:28" x14ac:dyDescent="0.25">
      <c r="A241">
        <v>5110507</v>
      </c>
      <c r="B241" t="s">
        <v>0</v>
      </c>
      <c r="C241">
        <v>22</v>
      </c>
      <c r="D241">
        <v>35594.28302000001</v>
      </c>
      <c r="L241">
        <v>88888</v>
      </c>
      <c r="M241" s="2">
        <f t="shared" si="67"/>
        <v>240</v>
      </c>
      <c r="N241" s="3">
        <f t="shared" si="68"/>
        <v>43677</v>
      </c>
      <c r="O241" t="s">
        <v>281</v>
      </c>
      <c r="P241">
        <f t="shared" si="56"/>
        <v>1034</v>
      </c>
      <c r="Q241" s="6">
        <f t="shared" si="69"/>
        <v>23</v>
      </c>
      <c r="R241" s="5">
        <f t="shared" si="70"/>
        <v>13045.154490000001</v>
      </c>
      <c r="T241" s="5">
        <f t="shared" si="71"/>
        <v>0</v>
      </c>
      <c r="U241">
        <f t="shared" si="72"/>
        <v>0</v>
      </c>
      <c r="V241">
        <f t="shared" si="73"/>
        <v>40</v>
      </c>
      <c r="W241" t="str">
        <f t="shared" si="74"/>
        <v xml:space="preserve">PREVENCION RIESGO DE TRABAJO            </v>
      </c>
      <c r="X241">
        <f t="shared" si="75"/>
        <v>28</v>
      </c>
      <c r="AB241" t="str">
        <f t="shared" si="57"/>
        <v>PREVENCION RIESGO DE TRABAJO</v>
      </c>
    </row>
    <row r="242" spans="1:28" x14ac:dyDescent="0.25">
      <c r="A242">
        <v>5110507</v>
      </c>
      <c r="B242" t="s">
        <v>0</v>
      </c>
      <c r="C242">
        <v>23</v>
      </c>
      <c r="D242">
        <v>13045.154490000001</v>
      </c>
      <c r="L242">
        <v>88888</v>
      </c>
      <c r="M242" s="2">
        <f t="shared" si="67"/>
        <v>241</v>
      </c>
      <c r="N242" s="3">
        <f t="shared" si="68"/>
        <v>43677</v>
      </c>
      <c r="O242" t="s">
        <v>281</v>
      </c>
      <c r="P242">
        <f t="shared" si="56"/>
        <v>1034</v>
      </c>
      <c r="Q242" s="6">
        <f t="shared" si="69"/>
        <v>24</v>
      </c>
      <c r="R242" s="5">
        <f t="shared" si="70"/>
        <v>29325.674180000002</v>
      </c>
      <c r="T242" s="5">
        <f t="shared" si="71"/>
        <v>0</v>
      </c>
      <c r="U242">
        <f t="shared" si="72"/>
        <v>0</v>
      </c>
      <c r="V242">
        <f t="shared" si="73"/>
        <v>40</v>
      </c>
      <c r="W242" t="str">
        <f t="shared" si="74"/>
        <v xml:space="preserve">PREVENCION RIESGO DE TRABAJO            </v>
      </c>
      <c r="X242">
        <f t="shared" si="75"/>
        <v>28</v>
      </c>
      <c r="AB242" t="str">
        <f t="shared" si="57"/>
        <v>PREVENCION RIESGO DE TRABAJO</v>
      </c>
    </row>
    <row r="243" spans="1:28" x14ac:dyDescent="0.25">
      <c r="A243">
        <v>5110507</v>
      </c>
      <c r="B243" t="s">
        <v>0</v>
      </c>
      <c r="C243">
        <v>24</v>
      </c>
      <c r="D243">
        <v>29325.674180000002</v>
      </c>
      <c r="L243">
        <v>88888</v>
      </c>
      <c r="M243" s="2">
        <f t="shared" si="67"/>
        <v>242</v>
      </c>
      <c r="N243" s="3">
        <f t="shared" si="68"/>
        <v>43677</v>
      </c>
      <c r="O243" t="s">
        <v>281</v>
      </c>
      <c r="P243">
        <f t="shared" si="56"/>
        <v>1034</v>
      </c>
      <c r="Q243" s="6">
        <f t="shared" si="69"/>
        <v>25</v>
      </c>
      <c r="R243" s="5">
        <f t="shared" si="70"/>
        <v>5349.3370000000004</v>
      </c>
      <c r="T243" s="5">
        <f t="shared" si="71"/>
        <v>0</v>
      </c>
      <c r="U243">
        <f t="shared" si="72"/>
        <v>0</v>
      </c>
      <c r="V243">
        <f t="shared" si="73"/>
        <v>40</v>
      </c>
      <c r="W243" t="str">
        <f t="shared" si="74"/>
        <v xml:space="preserve">PREVENCION RIESGO DE TRABAJO            </v>
      </c>
      <c r="X243">
        <f t="shared" si="75"/>
        <v>28</v>
      </c>
      <c r="AB243" t="str">
        <f t="shared" si="57"/>
        <v>PREVENCION RIESGO DE TRABAJO</v>
      </c>
    </row>
    <row r="244" spans="1:28" x14ac:dyDescent="0.25">
      <c r="A244">
        <v>5110507</v>
      </c>
      <c r="B244" t="s">
        <v>0</v>
      </c>
      <c r="C244">
        <v>25</v>
      </c>
      <c r="D244">
        <v>5349.3370000000004</v>
      </c>
      <c r="L244">
        <v>88888</v>
      </c>
      <c r="M244" s="2">
        <f t="shared" si="67"/>
        <v>243</v>
      </c>
      <c r="N244" s="3">
        <f t="shared" si="68"/>
        <v>43677</v>
      </c>
      <c r="O244" t="s">
        <v>281</v>
      </c>
      <c r="P244">
        <f t="shared" si="56"/>
        <v>1034</v>
      </c>
      <c r="Q244" s="6">
        <f t="shared" si="69"/>
        <v>27</v>
      </c>
      <c r="R244" s="5">
        <f t="shared" si="70"/>
        <v>15163.100549999997</v>
      </c>
      <c r="T244" s="5">
        <f t="shared" si="71"/>
        <v>0</v>
      </c>
      <c r="U244">
        <f t="shared" si="72"/>
        <v>0</v>
      </c>
      <c r="V244">
        <f t="shared" si="73"/>
        <v>40</v>
      </c>
      <c r="W244" t="str">
        <f t="shared" si="74"/>
        <v xml:space="preserve">PREVENCION RIESGO DE TRABAJO            </v>
      </c>
      <c r="X244">
        <f t="shared" si="75"/>
        <v>28</v>
      </c>
      <c r="AB244" t="str">
        <f t="shared" si="57"/>
        <v>PREVENCION RIESGO DE TRABAJO</v>
      </c>
    </row>
    <row r="245" spans="1:28" x14ac:dyDescent="0.25">
      <c r="A245">
        <v>5110507</v>
      </c>
      <c r="B245" t="s">
        <v>0</v>
      </c>
      <c r="C245">
        <v>27</v>
      </c>
      <c r="D245">
        <v>15163.100549999997</v>
      </c>
      <c r="L245">
        <v>88888</v>
      </c>
      <c r="M245" s="2">
        <f t="shared" si="67"/>
        <v>244</v>
      </c>
      <c r="N245" s="3">
        <f t="shared" si="68"/>
        <v>43677</v>
      </c>
      <c r="O245" t="s">
        <v>281</v>
      </c>
      <c r="P245">
        <f t="shared" si="56"/>
        <v>1034</v>
      </c>
      <c r="Q245" s="6">
        <f t="shared" si="69"/>
        <v>28</v>
      </c>
      <c r="R245" s="5">
        <f t="shared" si="70"/>
        <v>32733.212710000007</v>
      </c>
      <c r="T245" s="5">
        <f t="shared" si="71"/>
        <v>0</v>
      </c>
      <c r="U245">
        <f t="shared" si="72"/>
        <v>0</v>
      </c>
      <c r="V245">
        <f t="shared" si="73"/>
        <v>40</v>
      </c>
      <c r="W245" t="str">
        <f t="shared" si="74"/>
        <v xml:space="preserve">PREVENCION RIESGO DE TRABAJO            </v>
      </c>
      <c r="X245">
        <f t="shared" si="75"/>
        <v>28</v>
      </c>
      <c r="AB245" t="str">
        <f t="shared" si="57"/>
        <v>PREVENCION RIESGO DE TRABAJO</v>
      </c>
    </row>
    <row r="246" spans="1:28" x14ac:dyDescent="0.25">
      <c r="A246">
        <v>5110507</v>
      </c>
      <c r="B246" t="s">
        <v>0</v>
      </c>
      <c r="C246">
        <v>28</v>
      </c>
      <c r="D246">
        <v>32733.212710000007</v>
      </c>
      <c r="L246">
        <v>88888</v>
      </c>
      <c r="M246" s="2">
        <f t="shared" si="67"/>
        <v>245</v>
      </c>
      <c r="N246" s="3">
        <f t="shared" si="68"/>
        <v>43677</v>
      </c>
      <c r="O246" t="s">
        <v>281</v>
      </c>
      <c r="P246">
        <f t="shared" si="56"/>
        <v>1034</v>
      </c>
      <c r="Q246" s="6">
        <f t="shared" si="69"/>
        <v>29</v>
      </c>
      <c r="R246" s="5">
        <f t="shared" si="70"/>
        <v>5717.5743400000001</v>
      </c>
      <c r="T246" s="5">
        <f t="shared" si="71"/>
        <v>0</v>
      </c>
      <c r="U246">
        <f t="shared" si="72"/>
        <v>0</v>
      </c>
      <c r="V246">
        <f t="shared" si="73"/>
        <v>40</v>
      </c>
      <c r="W246" t="str">
        <f t="shared" si="74"/>
        <v xml:space="preserve">PREVENCION RIESGO DE TRABAJO            </v>
      </c>
      <c r="X246">
        <f t="shared" si="75"/>
        <v>28</v>
      </c>
      <c r="AB246" t="str">
        <f t="shared" si="57"/>
        <v>PREVENCION RIESGO DE TRABAJO</v>
      </c>
    </row>
    <row r="247" spans="1:28" x14ac:dyDescent="0.25">
      <c r="A247">
        <v>5110507</v>
      </c>
      <c r="B247" t="s">
        <v>0</v>
      </c>
      <c r="C247">
        <v>29</v>
      </c>
      <c r="D247">
        <v>5717.5743400000001</v>
      </c>
      <c r="L247">
        <v>88888</v>
      </c>
      <c r="M247" s="2">
        <f t="shared" si="67"/>
        <v>246</v>
      </c>
      <c r="N247" s="3">
        <f t="shared" si="68"/>
        <v>43677</v>
      </c>
      <c r="O247" t="s">
        <v>281</v>
      </c>
      <c r="P247">
        <f t="shared" si="56"/>
        <v>1034</v>
      </c>
      <c r="Q247" s="6">
        <f t="shared" si="69"/>
        <v>30</v>
      </c>
      <c r="R247" s="5">
        <f t="shared" si="70"/>
        <v>5255.3750600000003</v>
      </c>
      <c r="T247" s="5">
        <f t="shared" si="71"/>
        <v>0</v>
      </c>
      <c r="U247">
        <f t="shared" si="72"/>
        <v>0</v>
      </c>
      <c r="V247">
        <f t="shared" si="73"/>
        <v>40</v>
      </c>
      <c r="W247" t="str">
        <f t="shared" si="74"/>
        <v xml:space="preserve">PREVENCION RIESGO DE TRABAJO            </v>
      </c>
      <c r="X247">
        <f t="shared" si="75"/>
        <v>28</v>
      </c>
      <c r="AB247" t="str">
        <f t="shared" si="57"/>
        <v>PREVENCION RIESGO DE TRABAJO</v>
      </c>
    </row>
    <row r="248" spans="1:28" x14ac:dyDescent="0.25">
      <c r="A248">
        <v>5110507</v>
      </c>
      <c r="B248" t="s">
        <v>0</v>
      </c>
      <c r="C248">
        <v>30</v>
      </c>
      <c r="D248">
        <v>5255.3750600000003</v>
      </c>
      <c r="L248">
        <v>88888</v>
      </c>
      <c r="M248" s="2">
        <f t="shared" si="67"/>
        <v>247</v>
      </c>
      <c r="N248" s="3">
        <f t="shared" si="68"/>
        <v>43677</v>
      </c>
      <c r="O248" t="s">
        <v>281</v>
      </c>
      <c r="P248">
        <f t="shared" si="56"/>
        <v>1034</v>
      </c>
      <c r="Q248" s="6">
        <f t="shared" si="69"/>
        <v>31</v>
      </c>
      <c r="R248" s="5">
        <f t="shared" si="70"/>
        <v>30734.012329999998</v>
      </c>
      <c r="T248" s="5">
        <f t="shared" si="71"/>
        <v>0</v>
      </c>
      <c r="U248">
        <f t="shared" si="72"/>
        <v>0</v>
      </c>
      <c r="V248">
        <f t="shared" si="73"/>
        <v>40</v>
      </c>
      <c r="W248" t="str">
        <f t="shared" si="74"/>
        <v xml:space="preserve">PREVENCION RIESGO DE TRABAJO            </v>
      </c>
      <c r="X248">
        <f t="shared" si="75"/>
        <v>28</v>
      </c>
      <c r="AB248" t="str">
        <f t="shared" si="57"/>
        <v>PREVENCION RIESGO DE TRABAJO</v>
      </c>
    </row>
    <row r="249" spans="1:28" x14ac:dyDescent="0.25">
      <c r="A249">
        <v>5110507</v>
      </c>
      <c r="B249" t="s">
        <v>0</v>
      </c>
      <c r="C249">
        <v>31</v>
      </c>
      <c r="D249">
        <v>30734.012329999998</v>
      </c>
      <c r="L249">
        <v>88888</v>
      </c>
      <c r="M249" s="2">
        <f t="shared" si="67"/>
        <v>248</v>
      </c>
      <c r="N249" s="3">
        <f t="shared" si="68"/>
        <v>43677</v>
      </c>
      <c r="O249" t="s">
        <v>281</v>
      </c>
      <c r="P249">
        <f t="shared" si="56"/>
        <v>1034</v>
      </c>
      <c r="Q249" s="6">
        <f t="shared" si="69"/>
        <v>32</v>
      </c>
      <c r="R249" s="5">
        <f t="shared" si="70"/>
        <v>10580.892320000001</v>
      </c>
      <c r="T249" s="5">
        <f t="shared" si="71"/>
        <v>0</v>
      </c>
      <c r="U249">
        <f t="shared" si="72"/>
        <v>0</v>
      </c>
      <c r="V249">
        <f t="shared" si="73"/>
        <v>40</v>
      </c>
      <c r="W249" t="str">
        <f t="shared" si="74"/>
        <v xml:space="preserve">PREVENCION RIESGO DE TRABAJO            </v>
      </c>
      <c r="X249">
        <f t="shared" si="75"/>
        <v>28</v>
      </c>
      <c r="AB249" t="str">
        <f t="shared" si="57"/>
        <v>PREVENCION RIESGO DE TRABAJO</v>
      </c>
    </row>
    <row r="250" spans="1:28" x14ac:dyDescent="0.25">
      <c r="A250">
        <v>5110507</v>
      </c>
      <c r="B250" t="s">
        <v>0</v>
      </c>
      <c r="C250">
        <v>32</v>
      </c>
      <c r="D250">
        <v>10580.892320000001</v>
      </c>
      <c r="L250">
        <v>88888</v>
      </c>
      <c r="M250" s="2">
        <f t="shared" si="67"/>
        <v>249</v>
      </c>
      <c r="N250" s="3">
        <f t="shared" si="68"/>
        <v>43677</v>
      </c>
      <c r="O250" t="s">
        <v>281</v>
      </c>
      <c r="P250">
        <f t="shared" si="56"/>
        <v>1034</v>
      </c>
      <c r="Q250" s="6">
        <f t="shared" si="69"/>
        <v>34</v>
      </c>
      <c r="R250" s="5">
        <f t="shared" si="70"/>
        <v>20594.741310000001</v>
      </c>
      <c r="T250" s="5">
        <f t="shared" si="71"/>
        <v>0</v>
      </c>
      <c r="U250">
        <f t="shared" si="72"/>
        <v>0</v>
      </c>
      <c r="V250">
        <f t="shared" si="73"/>
        <v>40</v>
      </c>
      <c r="W250" t="str">
        <f t="shared" si="74"/>
        <v xml:space="preserve">PREVENCION RIESGO DE TRABAJO            </v>
      </c>
      <c r="X250">
        <f t="shared" si="75"/>
        <v>28</v>
      </c>
      <c r="AB250" t="str">
        <f t="shared" si="57"/>
        <v>PREVENCION RIESGO DE TRABAJO</v>
      </c>
    </row>
    <row r="251" spans="1:28" x14ac:dyDescent="0.25">
      <c r="A251">
        <v>5110507</v>
      </c>
      <c r="B251" t="s">
        <v>0</v>
      </c>
      <c r="C251">
        <v>34</v>
      </c>
      <c r="D251">
        <v>20594.741310000001</v>
      </c>
      <c r="L251">
        <v>88888</v>
      </c>
      <c r="M251" s="2">
        <f t="shared" si="67"/>
        <v>250</v>
      </c>
      <c r="N251" s="3">
        <f t="shared" si="68"/>
        <v>43677</v>
      </c>
      <c r="O251" t="s">
        <v>281</v>
      </c>
      <c r="P251">
        <f t="shared" si="56"/>
        <v>1034</v>
      </c>
      <c r="Q251" s="6">
        <f t="shared" si="69"/>
        <v>35</v>
      </c>
      <c r="R251" s="5">
        <f t="shared" si="70"/>
        <v>11492.183410000001</v>
      </c>
      <c r="T251" s="5">
        <f t="shared" si="71"/>
        <v>0</v>
      </c>
      <c r="U251">
        <f t="shared" si="72"/>
        <v>0</v>
      </c>
      <c r="V251">
        <f t="shared" si="73"/>
        <v>40</v>
      </c>
      <c r="W251" t="str">
        <f t="shared" si="74"/>
        <v xml:space="preserve">PREVENCION RIESGO DE TRABAJO            </v>
      </c>
      <c r="X251">
        <f t="shared" si="75"/>
        <v>28</v>
      </c>
      <c r="AB251" t="str">
        <f t="shared" si="57"/>
        <v>PREVENCION RIESGO DE TRABAJO</v>
      </c>
    </row>
    <row r="252" spans="1:28" x14ac:dyDescent="0.25">
      <c r="A252">
        <v>5110507</v>
      </c>
      <c r="B252" t="s">
        <v>0</v>
      </c>
      <c r="C252">
        <v>35</v>
      </c>
      <c r="D252">
        <v>11492.183410000001</v>
      </c>
      <c r="L252">
        <v>88888</v>
      </c>
      <c r="M252" s="2">
        <f t="shared" si="67"/>
        <v>251</v>
      </c>
      <c r="N252" s="3">
        <f t="shared" si="68"/>
        <v>43677</v>
      </c>
      <c r="O252" t="s">
        <v>281</v>
      </c>
      <c r="P252">
        <f t="shared" si="56"/>
        <v>1034</v>
      </c>
      <c r="Q252" s="6">
        <f t="shared" si="69"/>
        <v>36</v>
      </c>
      <c r="R252" s="5">
        <f t="shared" si="70"/>
        <v>16034.477870000002</v>
      </c>
      <c r="T252" s="5">
        <f t="shared" si="71"/>
        <v>0</v>
      </c>
      <c r="U252">
        <f t="shared" si="72"/>
        <v>0</v>
      </c>
      <c r="V252">
        <f t="shared" si="73"/>
        <v>40</v>
      </c>
      <c r="W252" t="str">
        <f t="shared" si="74"/>
        <v xml:space="preserve">PREVENCION RIESGO DE TRABAJO            </v>
      </c>
      <c r="X252">
        <f t="shared" si="75"/>
        <v>28</v>
      </c>
      <c r="AB252" t="str">
        <f t="shared" si="57"/>
        <v>PREVENCION RIESGO DE TRABAJO</v>
      </c>
    </row>
    <row r="253" spans="1:28" x14ac:dyDescent="0.25">
      <c r="A253">
        <v>5110507</v>
      </c>
      <c r="B253" t="s">
        <v>0</v>
      </c>
      <c r="C253">
        <v>36</v>
      </c>
      <c r="D253">
        <v>16034.477870000002</v>
      </c>
      <c r="L253">
        <v>88888</v>
      </c>
      <c r="M253" s="2">
        <f t="shared" si="67"/>
        <v>252</v>
      </c>
      <c r="N253" s="3">
        <f t="shared" si="68"/>
        <v>43677</v>
      </c>
      <c r="O253" t="s">
        <v>281</v>
      </c>
      <c r="P253">
        <f t="shared" si="56"/>
        <v>1034</v>
      </c>
      <c r="Q253" s="6">
        <f t="shared" si="69"/>
        <v>37</v>
      </c>
      <c r="R253" s="5">
        <f t="shared" si="70"/>
        <v>5157.3657600000006</v>
      </c>
      <c r="T253" s="5">
        <f t="shared" si="71"/>
        <v>0</v>
      </c>
      <c r="U253">
        <f t="shared" si="72"/>
        <v>0</v>
      </c>
      <c r="V253">
        <f t="shared" si="73"/>
        <v>40</v>
      </c>
      <c r="W253" t="str">
        <f t="shared" si="74"/>
        <v xml:space="preserve">PREVENCION RIESGO DE TRABAJO            </v>
      </c>
      <c r="X253">
        <f t="shared" si="75"/>
        <v>28</v>
      </c>
      <c r="AB253" t="str">
        <f t="shared" si="57"/>
        <v>PREVENCION RIESGO DE TRABAJO</v>
      </c>
    </row>
    <row r="254" spans="1:28" x14ac:dyDescent="0.25">
      <c r="A254">
        <v>5110507</v>
      </c>
      <c r="B254" t="s">
        <v>0</v>
      </c>
      <c r="C254">
        <v>37</v>
      </c>
      <c r="D254">
        <v>5157.3657600000006</v>
      </c>
      <c r="L254">
        <v>88888</v>
      </c>
      <c r="M254" s="2">
        <f t="shared" si="67"/>
        <v>253</v>
      </c>
      <c r="N254" s="3">
        <f t="shared" si="68"/>
        <v>43677</v>
      </c>
      <c r="O254" t="s">
        <v>281</v>
      </c>
      <c r="P254">
        <f t="shared" si="56"/>
        <v>1034</v>
      </c>
      <c r="Q254" s="6">
        <f t="shared" si="69"/>
        <v>38</v>
      </c>
      <c r="R254" s="5">
        <f t="shared" si="70"/>
        <v>7997.05008</v>
      </c>
      <c r="T254" s="5">
        <f t="shared" si="71"/>
        <v>0</v>
      </c>
      <c r="U254">
        <f t="shared" si="72"/>
        <v>0</v>
      </c>
      <c r="V254">
        <f t="shared" si="73"/>
        <v>40</v>
      </c>
      <c r="W254" t="str">
        <f t="shared" si="74"/>
        <v xml:space="preserve">PREVENCION RIESGO DE TRABAJO            </v>
      </c>
      <c r="X254">
        <f t="shared" si="75"/>
        <v>28</v>
      </c>
      <c r="AB254" t="str">
        <f t="shared" si="57"/>
        <v>PREVENCION RIESGO DE TRABAJO</v>
      </c>
    </row>
    <row r="255" spans="1:28" x14ac:dyDescent="0.25">
      <c r="A255">
        <v>5110507</v>
      </c>
      <c r="B255" t="s">
        <v>0</v>
      </c>
      <c r="C255">
        <v>38</v>
      </c>
      <c r="D255">
        <v>7997.05008</v>
      </c>
      <c r="L255">
        <v>88888</v>
      </c>
      <c r="M255" s="2">
        <f t="shared" si="67"/>
        <v>254</v>
      </c>
      <c r="N255" s="3">
        <f t="shared" si="68"/>
        <v>43677</v>
      </c>
      <c r="O255" t="s">
        <v>281</v>
      </c>
      <c r="P255">
        <f t="shared" si="56"/>
        <v>1034</v>
      </c>
      <c r="Q255" s="6">
        <f t="shared" si="69"/>
        <v>39</v>
      </c>
      <c r="R255" s="5">
        <f t="shared" si="70"/>
        <v>5903.0938799999985</v>
      </c>
      <c r="T255" s="5">
        <f t="shared" si="71"/>
        <v>0</v>
      </c>
      <c r="U255">
        <f t="shared" si="72"/>
        <v>0</v>
      </c>
      <c r="V255">
        <f t="shared" si="73"/>
        <v>40</v>
      </c>
      <c r="W255" t="str">
        <f t="shared" si="74"/>
        <v xml:space="preserve">PREVENCION RIESGO DE TRABAJO            </v>
      </c>
      <c r="X255">
        <f t="shared" si="75"/>
        <v>28</v>
      </c>
      <c r="AB255" t="str">
        <f t="shared" si="57"/>
        <v>PREVENCION RIESGO DE TRABAJO</v>
      </c>
    </row>
    <row r="256" spans="1:28" x14ac:dyDescent="0.25">
      <c r="A256">
        <v>5110507</v>
      </c>
      <c r="B256" t="s">
        <v>0</v>
      </c>
      <c r="C256">
        <v>39</v>
      </c>
      <c r="D256">
        <v>5903.0938799999985</v>
      </c>
      <c r="L256">
        <v>88888</v>
      </c>
      <c r="M256" s="2">
        <f t="shared" si="67"/>
        <v>255</v>
      </c>
      <c r="N256" s="3">
        <f t="shared" si="68"/>
        <v>43677</v>
      </c>
      <c r="O256" t="s">
        <v>281</v>
      </c>
      <c r="P256">
        <f t="shared" si="56"/>
        <v>1034</v>
      </c>
      <c r="Q256" s="6">
        <f t="shared" si="69"/>
        <v>40</v>
      </c>
      <c r="R256" s="5">
        <f t="shared" si="70"/>
        <v>4496.9646499999999</v>
      </c>
      <c r="T256" s="5">
        <f t="shared" si="71"/>
        <v>0</v>
      </c>
      <c r="U256">
        <f t="shared" si="72"/>
        <v>0</v>
      </c>
      <c r="V256">
        <f t="shared" si="73"/>
        <v>40</v>
      </c>
      <c r="W256" t="str">
        <f t="shared" si="74"/>
        <v xml:space="preserve">PREVENCION RIESGO DE TRABAJO            </v>
      </c>
      <c r="X256">
        <f t="shared" si="75"/>
        <v>28</v>
      </c>
      <c r="AB256" t="str">
        <f t="shared" si="57"/>
        <v>PREVENCION RIESGO DE TRABAJO</v>
      </c>
    </row>
    <row r="257" spans="1:28" x14ac:dyDescent="0.25">
      <c r="A257">
        <v>5110507</v>
      </c>
      <c r="B257" t="s">
        <v>0</v>
      </c>
      <c r="C257">
        <v>40</v>
      </c>
      <c r="D257">
        <v>4496.9646499999999</v>
      </c>
      <c r="L257">
        <v>88888</v>
      </c>
      <c r="M257" s="2">
        <f t="shared" si="67"/>
        <v>256</v>
      </c>
      <c r="N257" s="3">
        <f t="shared" si="68"/>
        <v>43677</v>
      </c>
      <c r="O257" t="s">
        <v>281</v>
      </c>
      <c r="P257">
        <f t="shared" si="56"/>
        <v>1034</v>
      </c>
      <c r="Q257" s="6">
        <f t="shared" si="69"/>
        <v>41</v>
      </c>
      <c r="R257" s="5">
        <f t="shared" si="70"/>
        <v>2792.2640799999999</v>
      </c>
      <c r="T257" s="5">
        <f t="shared" si="71"/>
        <v>0</v>
      </c>
      <c r="U257">
        <f t="shared" si="72"/>
        <v>0</v>
      </c>
      <c r="V257">
        <f t="shared" si="73"/>
        <v>40</v>
      </c>
      <c r="W257" t="str">
        <f t="shared" si="74"/>
        <v xml:space="preserve">PREVENCION RIESGO DE TRABAJO            </v>
      </c>
      <c r="X257">
        <f t="shared" si="75"/>
        <v>28</v>
      </c>
      <c r="AB257" t="str">
        <f t="shared" si="57"/>
        <v>PREVENCION RIESGO DE TRABAJO</v>
      </c>
    </row>
    <row r="258" spans="1:28" x14ac:dyDescent="0.25">
      <c r="A258">
        <v>5110507</v>
      </c>
      <c r="B258" t="s">
        <v>0</v>
      </c>
      <c r="C258">
        <v>41</v>
      </c>
      <c r="D258">
        <v>2792.2640799999999</v>
      </c>
      <c r="L258">
        <v>88888</v>
      </c>
      <c r="M258" s="2">
        <f t="shared" si="67"/>
        <v>257</v>
      </c>
      <c r="N258" s="3">
        <f t="shared" si="68"/>
        <v>43677</v>
      </c>
      <c r="O258" t="s">
        <v>281</v>
      </c>
      <c r="P258">
        <f t="shared" ref="P258:P306" si="76">LOOKUP(A259,F$2:F$153,H$2:H$153)</f>
        <v>1034</v>
      </c>
      <c r="Q258" s="6">
        <f t="shared" si="69"/>
        <v>42</v>
      </c>
      <c r="R258" s="5">
        <f t="shared" si="70"/>
        <v>1890.1307899999999</v>
      </c>
      <c r="T258" s="5">
        <f t="shared" si="71"/>
        <v>0</v>
      </c>
      <c r="U258">
        <f t="shared" si="72"/>
        <v>0</v>
      </c>
      <c r="V258">
        <f t="shared" si="73"/>
        <v>40</v>
      </c>
      <c r="W258" t="str">
        <f t="shared" si="74"/>
        <v xml:space="preserve">PREVENCION RIESGO DE TRABAJO            </v>
      </c>
      <c r="X258">
        <f t="shared" si="75"/>
        <v>28</v>
      </c>
      <c r="AB258" t="str">
        <f t="shared" ref="AB258:AB306" si="77">LOOKUP(A259,F$2:F$153,G$2:G$153)</f>
        <v>PREVENCION RIESGO DE TRABAJO</v>
      </c>
    </row>
    <row r="259" spans="1:28" x14ac:dyDescent="0.25">
      <c r="A259">
        <v>5110507</v>
      </c>
      <c r="B259" t="s">
        <v>0</v>
      </c>
      <c r="C259">
        <v>42</v>
      </c>
      <c r="D259">
        <v>1890.1307899999999</v>
      </c>
      <c r="L259">
        <v>88888</v>
      </c>
      <c r="M259" s="2">
        <f t="shared" si="67"/>
        <v>258</v>
      </c>
      <c r="N259" s="3">
        <f t="shared" si="68"/>
        <v>43677</v>
      </c>
      <c r="O259" t="s">
        <v>281</v>
      </c>
      <c r="P259">
        <f t="shared" si="76"/>
        <v>1034</v>
      </c>
      <c r="Q259" s="6">
        <f t="shared" si="69"/>
        <v>43</v>
      </c>
      <c r="R259" s="5">
        <f t="shared" si="70"/>
        <v>8731.3321700000015</v>
      </c>
      <c r="T259" s="5">
        <f t="shared" si="71"/>
        <v>0</v>
      </c>
      <c r="U259">
        <f t="shared" si="72"/>
        <v>0</v>
      </c>
      <c r="V259">
        <f t="shared" si="73"/>
        <v>40</v>
      </c>
      <c r="W259" t="str">
        <f t="shared" si="74"/>
        <v xml:space="preserve">PREVENCION RIESGO DE TRABAJO            </v>
      </c>
      <c r="X259">
        <f t="shared" si="75"/>
        <v>28</v>
      </c>
      <c r="AB259" t="str">
        <f t="shared" si="77"/>
        <v>PREVENCION RIESGO DE TRABAJO</v>
      </c>
    </row>
    <row r="260" spans="1:28" x14ac:dyDescent="0.25">
      <c r="A260">
        <v>5110507</v>
      </c>
      <c r="B260" t="s">
        <v>0</v>
      </c>
      <c r="C260">
        <v>43</v>
      </c>
      <c r="D260">
        <v>8731.3321700000015</v>
      </c>
      <c r="L260">
        <v>88888</v>
      </c>
      <c r="M260" s="2">
        <f t="shared" si="67"/>
        <v>259</v>
      </c>
      <c r="N260" s="3">
        <f t="shared" si="68"/>
        <v>43677</v>
      </c>
      <c r="O260" t="s">
        <v>281</v>
      </c>
      <c r="P260">
        <f t="shared" si="76"/>
        <v>1034</v>
      </c>
      <c r="Q260" s="6">
        <f t="shared" si="69"/>
        <v>44</v>
      </c>
      <c r="R260" s="5">
        <f t="shared" si="70"/>
        <v>19175.927670000001</v>
      </c>
      <c r="T260" s="5">
        <f t="shared" si="71"/>
        <v>0</v>
      </c>
      <c r="U260">
        <f t="shared" si="72"/>
        <v>0</v>
      </c>
      <c r="V260">
        <f t="shared" si="73"/>
        <v>40</v>
      </c>
      <c r="W260" t="str">
        <f t="shared" si="74"/>
        <v xml:space="preserve">PREVENCION RIESGO DE TRABAJO            </v>
      </c>
      <c r="X260">
        <f t="shared" si="75"/>
        <v>28</v>
      </c>
      <c r="AB260" t="str">
        <f t="shared" si="77"/>
        <v>PREVENCION RIESGO DE TRABAJO</v>
      </c>
    </row>
    <row r="261" spans="1:28" x14ac:dyDescent="0.25">
      <c r="A261">
        <v>5110507</v>
      </c>
      <c r="B261" t="s">
        <v>0</v>
      </c>
      <c r="C261">
        <v>44</v>
      </c>
      <c r="D261">
        <v>19175.927670000001</v>
      </c>
      <c r="L261">
        <v>88888</v>
      </c>
      <c r="M261" s="2">
        <f t="shared" si="67"/>
        <v>260</v>
      </c>
      <c r="N261" s="3">
        <f t="shared" si="68"/>
        <v>43677</v>
      </c>
      <c r="O261" t="s">
        <v>281</v>
      </c>
      <c r="P261">
        <f t="shared" si="76"/>
        <v>1034</v>
      </c>
      <c r="Q261" s="6">
        <f t="shared" si="69"/>
        <v>63</v>
      </c>
      <c r="R261" s="5">
        <f t="shared" si="70"/>
        <v>12573.985180000001</v>
      </c>
      <c r="T261" s="5">
        <f t="shared" si="71"/>
        <v>0</v>
      </c>
      <c r="U261">
        <f t="shared" si="72"/>
        <v>0</v>
      </c>
      <c r="V261">
        <f t="shared" si="73"/>
        <v>40</v>
      </c>
      <c r="W261" t="str">
        <f t="shared" si="74"/>
        <v xml:space="preserve">PREVENCION RIESGO DE TRABAJO            </v>
      </c>
      <c r="X261">
        <f t="shared" si="75"/>
        <v>28</v>
      </c>
      <c r="AB261" t="str">
        <f t="shared" si="77"/>
        <v>PREVENCION RIESGO DE TRABAJO</v>
      </c>
    </row>
    <row r="262" spans="1:28" x14ac:dyDescent="0.25">
      <c r="A262">
        <v>5110507</v>
      </c>
      <c r="B262" t="s">
        <v>0</v>
      </c>
      <c r="C262">
        <v>63</v>
      </c>
      <c r="D262">
        <v>12573.985180000001</v>
      </c>
      <c r="L262">
        <v>88888</v>
      </c>
      <c r="M262" s="2">
        <f t="shared" si="67"/>
        <v>261</v>
      </c>
      <c r="N262" s="3">
        <f t="shared" si="68"/>
        <v>43677</v>
      </c>
      <c r="O262" t="s">
        <v>281</v>
      </c>
      <c r="P262">
        <f t="shared" si="76"/>
        <v>1034</v>
      </c>
      <c r="Q262" s="6">
        <f t="shared" si="69"/>
        <v>65</v>
      </c>
      <c r="R262" s="5">
        <f t="shared" si="70"/>
        <v>1415.1841100000001</v>
      </c>
      <c r="T262" s="5">
        <f t="shared" si="71"/>
        <v>0</v>
      </c>
      <c r="U262">
        <f t="shared" si="72"/>
        <v>0</v>
      </c>
      <c r="V262">
        <f t="shared" si="73"/>
        <v>40</v>
      </c>
      <c r="W262" t="str">
        <f t="shared" si="74"/>
        <v xml:space="preserve">PREVENCION RIESGO DE TRABAJO            </v>
      </c>
      <c r="X262">
        <f t="shared" si="75"/>
        <v>28</v>
      </c>
      <c r="AB262" t="str">
        <f t="shared" si="77"/>
        <v>PREVENCION RIESGO DE TRABAJO</v>
      </c>
    </row>
    <row r="263" spans="1:28" x14ac:dyDescent="0.25">
      <c r="A263">
        <v>5110507</v>
      </c>
      <c r="B263" t="s">
        <v>0</v>
      </c>
      <c r="C263">
        <v>65</v>
      </c>
      <c r="D263">
        <v>1415.1841100000001</v>
      </c>
      <c r="L263">
        <v>88888</v>
      </c>
      <c r="M263" s="2">
        <f t="shared" si="67"/>
        <v>262</v>
      </c>
      <c r="N263" s="3">
        <f t="shared" si="68"/>
        <v>43677</v>
      </c>
      <c r="O263" t="s">
        <v>205</v>
      </c>
      <c r="P263">
        <f t="shared" si="76"/>
        <v>286</v>
      </c>
      <c r="Q263" s="6">
        <f t="shared" si="69"/>
        <v>1</v>
      </c>
      <c r="R263" s="5">
        <f t="shared" si="70"/>
        <v>0</v>
      </c>
      <c r="T263" s="5">
        <f t="shared" si="71"/>
        <v>9267144</v>
      </c>
      <c r="U263">
        <f t="shared" si="72"/>
        <v>0</v>
      </c>
      <c r="V263">
        <f t="shared" si="73"/>
        <v>40</v>
      </c>
      <c r="W263" t="str">
        <f t="shared" si="74"/>
        <v xml:space="preserve">ANTICIPO AL PERSONAL                    </v>
      </c>
      <c r="X263">
        <f t="shared" si="75"/>
        <v>20</v>
      </c>
      <c r="AB263" t="str">
        <f t="shared" si="77"/>
        <v>ANTICIPO AL PERSONAL</v>
      </c>
    </row>
    <row r="264" spans="1:28" x14ac:dyDescent="0.25">
      <c r="A264">
        <v>113209</v>
      </c>
      <c r="B264" t="s">
        <v>10</v>
      </c>
      <c r="C264">
        <v>1</v>
      </c>
      <c r="E264">
        <v>9267144</v>
      </c>
      <c r="L264">
        <v>88888</v>
      </c>
      <c r="M264" s="2">
        <f t="shared" si="67"/>
        <v>263</v>
      </c>
      <c r="N264" s="3">
        <f t="shared" si="68"/>
        <v>43677</v>
      </c>
      <c r="O264" t="s">
        <v>282</v>
      </c>
      <c r="P264">
        <f t="shared" si="76"/>
        <v>58</v>
      </c>
      <c r="Q264" s="6">
        <f t="shared" si="69"/>
        <v>1</v>
      </c>
      <c r="R264" s="5">
        <f t="shared" si="70"/>
        <v>0</v>
      </c>
      <c r="T264" s="5">
        <f t="shared" si="71"/>
        <v>4424.26</v>
      </c>
      <c r="U264">
        <f t="shared" si="72"/>
        <v>0</v>
      </c>
      <c r="V264">
        <f t="shared" si="73"/>
        <v>40</v>
      </c>
      <c r="W264" t="str">
        <f t="shared" si="74"/>
        <v xml:space="preserve">PROVEEDORES DE SEGURO                   </v>
      </c>
      <c r="X264">
        <f t="shared" si="75"/>
        <v>21</v>
      </c>
      <c r="AB264" t="str">
        <f t="shared" si="77"/>
        <v>PROVEEDORES DE SEGURO</v>
      </c>
    </row>
    <row r="265" spans="1:28" x14ac:dyDescent="0.25">
      <c r="A265">
        <v>21110204</v>
      </c>
      <c r="B265" t="s">
        <v>151</v>
      </c>
      <c r="C265">
        <v>1</v>
      </c>
      <c r="E265">
        <v>4424.26</v>
      </c>
      <c r="L265">
        <v>88888</v>
      </c>
      <c r="M265" s="2">
        <f t="shared" si="67"/>
        <v>264</v>
      </c>
      <c r="N265" s="3">
        <f t="shared" si="68"/>
        <v>43677</v>
      </c>
      <c r="O265" t="s">
        <v>206</v>
      </c>
      <c r="P265">
        <f t="shared" si="76"/>
        <v>109</v>
      </c>
      <c r="Q265" s="6">
        <f t="shared" si="69"/>
        <v>1</v>
      </c>
      <c r="R265" s="5">
        <f t="shared" si="70"/>
        <v>0</v>
      </c>
      <c r="T265" s="5">
        <f t="shared" si="71"/>
        <v>651662.92000000004</v>
      </c>
      <c r="U265">
        <f t="shared" si="72"/>
        <v>0</v>
      </c>
      <c r="V265">
        <f t="shared" si="73"/>
        <v>40</v>
      </c>
      <c r="W265" t="str">
        <f t="shared" si="74"/>
        <v xml:space="preserve">IMPUESTOS A LAS GANANCIAS               </v>
      </c>
      <c r="X265">
        <f t="shared" si="75"/>
        <v>25</v>
      </c>
      <c r="AB265" t="str">
        <f t="shared" si="77"/>
        <v>IMPUESTOS A LAS GANANCIAS</v>
      </c>
    </row>
    <row r="266" spans="1:28" x14ac:dyDescent="0.25">
      <c r="A266">
        <v>21130702</v>
      </c>
      <c r="B266" t="s">
        <v>152</v>
      </c>
      <c r="C266">
        <v>1</v>
      </c>
      <c r="E266">
        <v>651662.92000000004</v>
      </c>
      <c r="L266">
        <v>88888</v>
      </c>
      <c r="M266" s="2">
        <f t="shared" si="67"/>
        <v>265</v>
      </c>
      <c r="N266" s="3">
        <f t="shared" si="68"/>
        <v>43677</v>
      </c>
      <c r="O266" t="s">
        <v>207</v>
      </c>
      <c r="P266">
        <f t="shared" si="76"/>
        <v>120</v>
      </c>
      <c r="Q266" s="6">
        <f t="shared" si="69"/>
        <v>1</v>
      </c>
      <c r="R266" s="5">
        <f t="shared" si="70"/>
        <v>0</v>
      </c>
      <c r="T266" s="5">
        <f t="shared" si="71"/>
        <v>7784561.54</v>
      </c>
      <c r="U266">
        <f t="shared" si="72"/>
        <v>0</v>
      </c>
      <c r="V266">
        <f t="shared" si="73"/>
        <v>40</v>
      </c>
      <c r="W266" t="str">
        <f t="shared" si="74"/>
        <v xml:space="preserve">S.I.J.P. LEY 24.241                     </v>
      </c>
      <c r="X266">
        <f t="shared" si="75"/>
        <v>19</v>
      </c>
      <c r="AB266" t="str">
        <f t="shared" si="77"/>
        <v>S.I.J.P. LEY 24.241</v>
      </c>
    </row>
    <row r="267" spans="1:28" x14ac:dyDescent="0.25">
      <c r="A267">
        <v>21140101</v>
      </c>
      <c r="B267" t="s">
        <v>153</v>
      </c>
      <c r="C267">
        <v>1</v>
      </c>
      <c r="E267">
        <v>7784561.54</v>
      </c>
      <c r="L267">
        <v>88888</v>
      </c>
      <c r="M267" s="2">
        <f t="shared" si="67"/>
        <v>266</v>
      </c>
      <c r="N267" s="3">
        <f t="shared" si="68"/>
        <v>43677</v>
      </c>
      <c r="O267" t="s">
        <v>208</v>
      </c>
      <c r="P267">
        <f t="shared" si="76"/>
        <v>121</v>
      </c>
      <c r="Q267" s="6">
        <f t="shared" si="69"/>
        <v>1</v>
      </c>
      <c r="R267" s="5">
        <f t="shared" si="70"/>
        <v>0</v>
      </c>
      <c r="T267" s="5">
        <f t="shared" si="71"/>
        <v>2107764.09</v>
      </c>
      <c r="U267">
        <f t="shared" si="72"/>
        <v>0</v>
      </c>
      <c r="V267">
        <f t="shared" si="73"/>
        <v>40</v>
      </c>
      <c r="W267" t="str">
        <f t="shared" si="74"/>
        <v xml:space="preserve">CONT.FNE.Y ASIG.FAMILIARES              </v>
      </c>
      <c r="X267">
        <f t="shared" si="75"/>
        <v>26</v>
      </c>
      <c r="AB267" t="str">
        <f t="shared" si="77"/>
        <v>CONT.FNE.Y ASIG.FAMILIARES</v>
      </c>
    </row>
    <row r="268" spans="1:28" x14ac:dyDescent="0.25">
      <c r="A268">
        <v>21140102</v>
      </c>
      <c r="B268" t="s">
        <v>154</v>
      </c>
      <c r="C268">
        <v>1</v>
      </c>
      <c r="E268">
        <v>2107764.09</v>
      </c>
      <c r="L268">
        <v>88888</v>
      </c>
      <c r="M268" s="2">
        <f t="shared" si="67"/>
        <v>267</v>
      </c>
      <c r="N268" s="3">
        <f t="shared" si="68"/>
        <v>43677</v>
      </c>
      <c r="O268" t="s">
        <v>209</v>
      </c>
      <c r="P268">
        <f t="shared" si="76"/>
        <v>122</v>
      </c>
      <c r="Q268" s="6">
        <f t="shared" si="69"/>
        <v>1</v>
      </c>
      <c r="R268" s="5">
        <f t="shared" si="70"/>
        <v>0</v>
      </c>
      <c r="T268" s="5">
        <f t="shared" si="71"/>
        <v>1191528.1200000001</v>
      </c>
      <c r="U268">
        <f t="shared" si="72"/>
        <v>0</v>
      </c>
      <c r="V268">
        <f t="shared" si="73"/>
        <v>40</v>
      </c>
      <c r="W268" t="str">
        <f t="shared" si="74"/>
        <v xml:space="preserve">FATLYF-FDO.COMP.P/JUB.Y PEN.            </v>
      </c>
      <c r="X268">
        <f t="shared" si="75"/>
        <v>28</v>
      </c>
      <c r="AB268" t="str">
        <f t="shared" si="77"/>
        <v>FATLYF-FDO.COMP.P/JUB.Y PEN.</v>
      </c>
    </row>
    <row r="269" spans="1:28" x14ac:dyDescent="0.25">
      <c r="A269">
        <v>21140103</v>
      </c>
      <c r="B269" t="s">
        <v>155</v>
      </c>
      <c r="C269">
        <v>1</v>
      </c>
      <c r="E269">
        <v>1191528.1200000001</v>
      </c>
      <c r="L269">
        <v>88888</v>
      </c>
      <c r="M269" s="2">
        <f t="shared" si="67"/>
        <v>268</v>
      </c>
      <c r="N269" s="3">
        <f t="shared" si="68"/>
        <v>43677</v>
      </c>
      <c r="O269" t="s">
        <v>210</v>
      </c>
      <c r="P269">
        <f t="shared" si="76"/>
        <v>126</v>
      </c>
      <c r="Q269" s="6">
        <f t="shared" si="69"/>
        <v>1</v>
      </c>
      <c r="R269" s="5">
        <f t="shared" si="70"/>
        <v>0</v>
      </c>
      <c r="T269" s="5">
        <f t="shared" si="71"/>
        <v>847619.89</v>
      </c>
      <c r="U269">
        <f t="shared" si="72"/>
        <v>0</v>
      </c>
      <c r="V269">
        <f t="shared" si="73"/>
        <v>40</v>
      </c>
      <c r="W269" t="str">
        <f t="shared" si="74"/>
        <v xml:space="preserve">OBRA SOCIAL LUZ Y FUERZA                </v>
      </c>
      <c r="X269">
        <f t="shared" si="75"/>
        <v>24</v>
      </c>
      <c r="AB269" t="str">
        <f t="shared" si="77"/>
        <v>OBRA SOCIAL LUZ Y FUERZA</v>
      </c>
    </row>
    <row r="270" spans="1:28" x14ac:dyDescent="0.25">
      <c r="A270">
        <v>21140107</v>
      </c>
      <c r="B270" t="s">
        <v>62</v>
      </c>
      <c r="C270">
        <v>1</v>
      </c>
      <c r="E270">
        <v>847619.89</v>
      </c>
      <c r="L270">
        <v>88888</v>
      </c>
      <c r="M270" s="2">
        <f t="shared" si="67"/>
        <v>269</v>
      </c>
      <c r="N270" s="3">
        <f t="shared" si="68"/>
        <v>43677</v>
      </c>
      <c r="O270" t="s">
        <v>211</v>
      </c>
      <c r="P270">
        <f t="shared" si="76"/>
        <v>127</v>
      </c>
      <c r="Q270" s="6">
        <f t="shared" si="69"/>
        <v>1</v>
      </c>
      <c r="R270" s="5">
        <f t="shared" si="70"/>
        <v>0</v>
      </c>
      <c r="T270" s="5">
        <f t="shared" si="71"/>
        <v>212125.28</v>
      </c>
      <c r="U270">
        <f t="shared" si="72"/>
        <v>0</v>
      </c>
      <c r="V270">
        <f t="shared" si="73"/>
        <v>40</v>
      </c>
      <c r="W270" t="str">
        <f t="shared" si="74"/>
        <v xml:space="preserve">OBRA SOCIAL OSECAC                      </v>
      </c>
      <c r="X270">
        <f t="shared" si="75"/>
        <v>18</v>
      </c>
      <c r="AB270" t="str">
        <f t="shared" si="77"/>
        <v>OBRA SOCIAL OSECAC</v>
      </c>
    </row>
    <row r="271" spans="1:28" x14ac:dyDescent="0.25">
      <c r="A271">
        <v>21140108</v>
      </c>
      <c r="B271" t="s">
        <v>63</v>
      </c>
      <c r="C271">
        <v>1</v>
      </c>
      <c r="E271">
        <v>212125.28</v>
      </c>
      <c r="L271">
        <v>88888</v>
      </c>
      <c r="M271" s="2">
        <f t="shared" si="67"/>
        <v>270</v>
      </c>
      <c r="N271" s="3">
        <f t="shared" si="68"/>
        <v>43677</v>
      </c>
      <c r="O271" t="s">
        <v>212</v>
      </c>
      <c r="P271">
        <f t="shared" si="76"/>
        <v>128</v>
      </c>
      <c r="Q271" s="6">
        <f t="shared" si="69"/>
        <v>1</v>
      </c>
      <c r="R271" s="5">
        <f t="shared" si="70"/>
        <v>0</v>
      </c>
      <c r="T271" s="5">
        <f t="shared" si="71"/>
        <v>284254.51</v>
      </c>
      <c r="U271">
        <f t="shared" si="72"/>
        <v>0</v>
      </c>
      <c r="V271">
        <f t="shared" si="73"/>
        <v>40</v>
      </c>
      <c r="W271" t="str">
        <f t="shared" si="74"/>
        <v xml:space="preserve">OBRA SOCIAL OSDE                        </v>
      </c>
      <c r="X271">
        <f t="shared" si="75"/>
        <v>16</v>
      </c>
      <c r="AB271" t="str">
        <f t="shared" si="77"/>
        <v>OBRA SOCIAL OSDE</v>
      </c>
    </row>
    <row r="272" spans="1:28" x14ac:dyDescent="0.25">
      <c r="A272">
        <v>21140109</v>
      </c>
      <c r="B272" t="s">
        <v>64</v>
      </c>
      <c r="C272">
        <v>1</v>
      </c>
      <c r="E272">
        <v>284254.51</v>
      </c>
      <c r="L272">
        <v>88888</v>
      </c>
      <c r="M272" s="2">
        <f t="shared" si="67"/>
        <v>271</v>
      </c>
      <c r="N272" s="3">
        <f t="shared" si="68"/>
        <v>43677</v>
      </c>
      <c r="O272" t="s">
        <v>303</v>
      </c>
      <c r="P272">
        <f t="shared" si="76"/>
        <v>129</v>
      </c>
      <c r="Q272" s="6">
        <f t="shared" si="69"/>
        <v>1</v>
      </c>
      <c r="R272" s="5">
        <f t="shared" si="70"/>
        <v>0</v>
      </c>
      <c r="T272" s="5">
        <f t="shared" si="71"/>
        <v>9697.25</v>
      </c>
      <c r="U272">
        <f t="shared" si="72"/>
        <v>0</v>
      </c>
      <c r="V272">
        <f t="shared" si="73"/>
        <v>40</v>
      </c>
      <c r="W272" t="str">
        <f t="shared" si="74"/>
        <v xml:space="preserve">OBRA SOCIAL PERS DE LA                  </v>
      </c>
      <c r="X272">
        <f t="shared" si="75"/>
        <v>22</v>
      </c>
      <c r="AB272" t="str">
        <f t="shared" si="77"/>
        <v>OBRA SOCIAL PERS DE LA</v>
      </c>
    </row>
    <row r="273" spans="1:28" x14ac:dyDescent="0.25">
      <c r="A273">
        <v>21140110</v>
      </c>
      <c r="B273" t="s">
        <v>292</v>
      </c>
      <c r="C273">
        <v>1</v>
      </c>
      <c r="E273">
        <v>9697.25</v>
      </c>
      <c r="L273">
        <v>88888</v>
      </c>
      <c r="M273" s="2">
        <f t="shared" si="67"/>
        <v>272</v>
      </c>
      <c r="N273" s="3">
        <f t="shared" si="68"/>
        <v>43677</v>
      </c>
      <c r="O273" t="s">
        <v>213</v>
      </c>
      <c r="P273">
        <f t="shared" si="76"/>
        <v>130</v>
      </c>
      <c r="Q273" s="6">
        <f t="shared" si="69"/>
        <v>1</v>
      </c>
      <c r="R273" s="5">
        <f t="shared" si="70"/>
        <v>0</v>
      </c>
      <c r="T273" s="5">
        <f t="shared" si="71"/>
        <v>305036.75</v>
      </c>
      <c r="U273">
        <f t="shared" si="72"/>
        <v>0</v>
      </c>
      <c r="V273">
        <f t="shared" si="73"/>
        <v>40</v>
      </c>
      <c r="W273" t="str">
        <f t="shared" si="74"/>
        <v xml:space="preserve">SIND.TRAB.LUZ Y FUERZA CUOTA            </v>
      </c>
      <c r="X273">
        <f t="shared" si="75"/>
        <v>28</v>
      </c>
      <c r="AB273" t="str">
        <f t="shared" si="77"/>
        <v>SIND.TRAB.LUZ Y FUERZA CUOTA</v>
      </c>
    </row>
    <row r="274" spans="1:28" x14ac:dyDescent="0.25">
      <c r="A274">
        <v>21140111</v>
      </c>
      <c r="B274" t="s">
        <v>156</v>
      </c>
      <c r="C274">
        <v>1</v>
      </c>
      <c r="E274">
        <v>305036.75</v>
      </c>
      <c r="L274">
        <v>88888</v>
      </c>
      <c r="M274" s="2">
        <f t="shared" si="67"/>
        <v>273</v>
      </c>
      <c r="N274" s="3">
        <f t="shared" si="68"/>
        <v>43677</v>
      </c>
      <c r="O274" t="s">
        <v>214</v>
      </c>
      <c r="P274">
        <f t="shared" si="76"/>
        <v>131</v>
      </c>
      <c r="Q274" s="6">
        <f t="shared" si="69"/>
        <v>1</v>
      </c>
      <c r="R274" s="5">
        <f t="shared" si="70"/>
        <v>0</v>
      </c>
      <c r="T274" s="5">
        <f t="shared" si="71"/>
        <v>122014.66</v>
      </c>
      <c r="U274">
        <f t="shared" si="72"/>
        <v>0</v>
      </c>
      <c r="V274">
        <f t="shared" si="73"/>
        <v>40</v>
      </c>
      <c r="W274" t="str">
        <f t="shared" si="74"/>
        <v xml:space="preserve">SIND.TRAB.LUZ Y FZA.MERC.               </v>
      </c>
      <c r="X274">
        <f t="shared" si="75"/>
        <v>25</v>
      </c>
      <c r="AB274" t="str">
        <f t="shared" si="77"/>
        <v>SIND.TRAB.LUZ Y FZA.MERC.</v>
      </c>
    </row>
    <row r="275" spans="1:28" x14ac:dyDescent="0.25">
      <c r="A275">
        <v>21140112</v>
      </c>
      <c r="B275" t="s">
        <v>157</v>
      </c>
      <c r="C275">
        <v>1</v>
      </c>
      <c r="E275">
        <v>122014.66</v>
      </c>
      <c r="L275">
        <v>88888</v>
      </c>
      <c r="M275" s="2">
        <f t="shared" si="67"/>
        <v>274</v>
      </c>
      <c r="N275" s="3">
        <f t="shared" si="68"/>
        <v>43677</v>
      </c>
      <c r="O275" t="s">
        <v>215</v>
      </c>
      <c r="P275">
        <f t="shared" si="76"/>
        <v>132</v>
      </c>
      <c r="Q275" s="6">
        <f t="shared" si="69"/>
        <v>1</v>
      </c>
      <c r="R275" s="5">
        <f t="shared" si="70"/>
        <v>0</v>
      </c>
      <c r="T275" s="5">
        <f t="shared" si="71"/>
        <v>1950.88</v>
      </c>
      <c r="U275">
        <f t="shared" si="72"/>
        <v>0</v>
      </c>
      <c r="V275">
        <f t="shared" si="73"/>
        <v>40</v>
      </c>
      <c r="W275" t="str">
        <f t="shared" si="74"/>
        <v xml:space="preserve">SIND.TRAB.LUZ Y FZA.(BA) DN             </v>
      </c>
      <c r="X275">
        <f t="shared" si="75"/>
        <v>27</v>
      </c>
      <c r="AB275" t="str">
        <f t="shared" si="77"/>
        <v>SIND.TRAB.LUZ Y FZA.(BA) DN</v>
      </c>
    </row>
    <row r="276" spans="1:28" x14ac:dyDescent="0.25">
      <c r="A276">
        <v>21140113</v>
      </c>
      <c r="B276" t="s">
        <v>158</v>
      </c>
      <c r="C276">
        <v>1</v>
      </c>
      <c r="E276">
        <v>1950.88</v>
      </c>
      <c r="L276">
        <v>88888</v>
      </c>
      <c r="M276" s="2">
        <f t="shared" si="67"/>
        <v>275</v>
      </c>
      <c r="N276" s="3">
        <f t="shared" si="68"/>
        <v>43677</v>
      </c>
      <c r="O276" t="s">
        <v>216</v>
      </c>
      <c r="P276">
        <f t="shared" si="76"/>
        <v>133</v>
      </c>
      <c r="Q276" s="6">
        <f t="shared" si="69"/>
        <v>1</v>
      </c>
      <c r="R276" s="5">
        <f t="shared" si="70"/>
        <v>0</v>
      </c>
      <c r="T276" s="5">
        <f t="shared" si="71"/>
        <v>242078.62</v>
      </c>
      <c r="U276">
        <f t="shared" si="72"/>
        <v>0</v>
      </c>
      <c r="V276">
        <f t="shared" si="73"/>
        <v>40</v>
      </c>
      <c r="W276" t="str">
        <f t="shared" si="74"/>
        <v xml:space="preserve">COSEGURO-SIND.TRAB.LUZ Y FZA.           </v>
      </c>
      <c r="X276">
        <f t="shared" si="75"/>
        <v>29</v>
      </c>
      <c r="AB276" t="str">
        <f t="shared" si="77"/>
        <v>COSEGURO-SIND.TRAB.LUZ Y FZA.</v>
      </c>
    </row>
    <row r="277" spans="1:28" x14ac:dyDescent="0.25">
      <c r="A277">
        <v>21140114</v>
      </c>
      <c r="B277" t="s">
        <v>159</v>
      </c>
      <c r="C277">
        <v>1</v>
      </c>
      <c r="E277">
        <v>242078.62</v>
      </c>
      <c r="L277">
        <v>88888</v>
      </c>
      <c r="M277" s="2">
        <f t="shared" si="67"/>
        <v>276</v>
      </c>
      <c r="N277" s="3">
        <f t="shared" si="68"/>
        <v>43677</v>
      </c>
      <c r="O277" t="s">
        <v>217</v>
      </c>
      <c r="P277">
        <f t="shared" si="76"/>
        <v>134</v>
      </c>
      <c r="Q277" s="6">
        <f t="shared" si="69"/>
        <v>1</v>
      </c>
      <c r="R277" s="5">
        <f t="shared" si="70"/>
        <v>0</v>
      </c>
      <c r="T277" s="5">
        <f t="shared" si="71"/>
        <v>123581.29</v>
      </c>
      <c r="U277">
        <f t="shared" si="72"/>
        <v>0</v>
      </c>
      <c r="V277">
        <f t="shared" si="73"/>
        <v>40</v>
      </c>
      <c r="W277" t="str">
        <f t="shared" si="74"/>
        <v xml:space="preserve">CUOTA SIND.CENTRO EMPLEADO COM          </v>
      </c>
      <c r="X277">
        <f t="shared" si="75"/>
        <v>30</v>
      </c>
      <c r="AB277" t="str">
        <f t="shared" si="77"/>
        <v>CUOTA SIND.CENTRO EMPLEADO COM</v>
      </c>
    </row>
    <row r="278" spans="1:28" x14ac:dyDescent="0.25">
      <c r="A278">
        <v>21140115</v>
      </c>
      <c r="B278" t="s">
        <v>293</v>
      </c>
      <c r="C278">
        <v>1</v>
      </c>
      <c r="E278">
        <v>123581.29</v>
      </c>
      <c r="L278">
        <v>88888</v>
      </c>
      <c r="M278" s="2">
        <f t="shared" si="67"/>
        <v>277</v>
      </c>
      <c r="N278" s="3">
        <f t="shared" si="68"/>
        <v>43677</v>
      </c>
      <c r="O278" t="s">
        <v>218</v>
      </c>
      <c r="P278">
        <f t="shared" si="76"/>
        <v>136</v>
      </c>
      <c r="Q278" s="6">
        <f t="shared" si="69"/>
        <v>1</v>
      </c>
      <c r="R278" s="5">
        <f t="shared" si="70"/>
        <v>0</v>
      </c>
      <c r="T278" s="5">
        <f t="shared" si="71"/>
        <v>669461.12</v>
      </c>
      <c r="U278">
        <f t="shared" si="72"/>
        <v>0</v>
      </c>
      <c r="V278">
        <f t="shared" si="73"/>
        <v>40</v>
      </c>
      <c r="W278" t="str">
        <f t="shared" si="74"/>
        <v xml:space="preserve">ADIC.ART.69-70-72-CCT32/75              </v>
      </c>
      <c r="X278">
        <f t="shared" si="75"/>
        <v>26</v>
      </c>
      <c r="AB278" t="str">
        <f t="shared" si="77"/>
        <v>ADIC.ART.69-70-72-CCT32/75</v>
      </c>
    </row>
    <row r="279" spans="1:28" x14ac:dyDescent="0.25">
      <c r="A279">
        <v>21140117</v>
      </c>
      <c r="B279" t="s">
        <v>160</v>
      </c>
      <c r="C279">
        <v>1</v>
      </c>
      <c r="E279">
        <v>669461.12</v>
      </c>
      <c r="L279">
        <v>88888</v>
      </c>
      <c r="M279" s="2">
        <f t="shared" si="67"/>
        <v>278</v>
      </c>
      <c r="N279" s="3">
        <f t="shared" si="68"/>
        <v>43677</v>
      </c>
      <c r="O279" t="s">
        <v>219</v>
      </c>
      <c r="P279">
        <f t="shared" si="76"/>
        <v>137</v>
      </c>
      <c r="Q279" s="6">
        <f t="shared" si="69"/>
        <v>1</v>
      </c>
      <c r="R279" s="5">
        <f t="shared" si="70"/>
        <v>0</v>
      </c>
      <c r="T279" s="5">
        <f t="shared" si="71"/>
        <v>402924.74</v>
      </c>
      <c r="U279">
        <f t="shared" si="72"/>
        <v>0</v>
      </c>
      <c r="V279">
        <f t="shared" si="73"/>
        <v>40</v>
      </c>
      <c r="W279" t="str">
        <f t="shared" si="74"/>
        <v xml:space="preserve">ADM.NAC.DE SEG.SALUD (ANSAL)            </v>
      </c>
      <c r="X279">
        <f t="shared" si="75"/>
        <v>28</v>
      </c>
      <c r="AB279" t="str">
        <f t="shared" si="77"/>
        <v>ADM.NAC.DE SEG.SALUD (ANSAL)</v>
      </c>
    </row>
    <row r="280" spans="1:28" x14ac:dyDescent="0.25">
      <c r="A280">
        <v>21140118</v>
      </c>
      <c r="B280" t="s">
        <v>294</v>
      </c>
      <c r="C280">
        <v>1</v>
      </c>
      <c r="E280">
        <v>402924.74</v>
      </c>
      <c r="L280">
        <v>88888</v>
      </c>
      <c r="M280" s="2">
        <f t="shared" si="67"/>
        <v>279</v>
      </c>
      <c r="N280" s="3">
        <f t="shared" si="68"/>
        <v>43677</v>
      </c>
      <c r="O280" t="s">
        <v>220</v>
      </c>
      <c r="P280">
        <f t="shared" si="76"/>
        <v>138</v>
      </c>
      <c r="Q280" s="6">
        <f t="shared" si="69"/>
        <v>1</v>
      </c>
      <c r="R280" s="5">
        <f t="shared" si="70"/>
        <v>0</v>
      </c>
      <c r="T280" s="5">
        <f t="shared" si="71"/>
        <v>1538163.44</v>
      </c>
      <c r="U280">
        <f t="shared" si="72"/>
        <v>0</v>
      </c>
      <c r="V280">
        <f t="shared" si="73"/>
        <v>40</v>
      </c>
      <c r="W280" t="str">
        <f t="shared" si="74"/>
        <v xml:space="preserve">INSSJP LEY 19032                        </v>
      </c>
      <c r="X280">
        <f t="shared" si="75"/>
        <v>16</v>
      </c>
      <c r="AB280" t="str">
        <f t="shared" si="77"/>
        <v>INSSJP LEY 19032</v>
      </c>
    </row>
    <row r="281" spans="1:28" x14ac:dyDescent="0.25">
      <c r="A281">
        <v>21140119</v>
      </c>
      <c r="B281" t="s">
        <v>74</v>
      </c>
      <c r="C281">
        <v>1</v>
      </c>
      <c r="E281">
        <v>1538163.44</v>
      </c>
      <c r="L281">
        <v>88888</v>
      </c>
      <c r="M281" s="2">
        <f t="shared" si="67"/>
        <v>280</v>
      </c>
      <c r="N281" s="3">
        <f t="shared" si="68"/>
        <v>43677</v>
      </c>
      <c r="O281" t="s">
        <v>221</v>
      </c>
      <c r="P281">
        <f t="shared" si="76"/>
        <v>139</v>
      </c>
      <c r="Q281" s="6">
        <f t="shared" si="69"/>
        <v>1</v>
      </c>
      <c r="R281" s="5">
        <f t="shared" si="70"/>
        <v>0</v>
      </c>
      <c r="T281" s="5">
        <f t="shared" si="71"/>
        <v>11896.69</v>
      </c>
      <c r="U281">
        <f t="shared" si="72"/>
        <v>0</v>
      </c>
      <c r="V281">
        <f t="shared" si="73"/>
        <v>40</v>
      </c>
      <c r="W281" t="str">
        <f t="shared" si="74"/>
        <v xml:space="preserve">SIND.TRAB.LUZ Y FZA. TUR.               </v>
      </c>
      <c r="X281">
        <f t="shared" si="75"/>
        <v>25</v>
      </c>
      <c r="AB281" t="str">
        <f t="shared" si="77"/>
        <v>SIND.TRAB.LUZ Y FZA. TUR.</v>
      </c>
    </row>
    <row r="282" spans="1:28" x14ac:dyDescent="0.25">
      <c r="A282">
        <v>21140120</v>
      </c>
      <c r="B282" t="s">
        <v>161</v>
      </c>
      <c r="C282">
        <v>1</v>
      </c>
      <c r="E282">
        <v>11896.69</v>
      </c>
      <c r="L282">
        <v>88888</v>
      </c>
      <c r="M282" s="2">
        <f t="shared" si="67"/>
        <v>281</v>
      </c>
      <c r="N282" s="3">
        <f t="shared" si="68"/>
        <v>43677</v>
      </c>
      <c r="O282" t="s">
        <v>222</v>
      </c>
      <c r="P282">
        <f t="shared" si="76"/>
        <v>141</v>
      </c>
      <c r="Q282" s="6">
        <f t="shared" si="69"/>
        <v>1</v>
      </c>
      <c r="R282" s="5">
        <f t="shared" si="70"/>
        <v>0</v>
      </c>
      <c r="T282" s="5">
        <f t="shared" si="71"/>
        <v>76937.25</v>
      </c>
      <c r="U282">
        <f t="shared" si="72"/>
        <v>0</v>
      </c>
      <c r="V282">
        <f t="shared" si="73"/>
        <v>40</v>
      </c>
      <c r="W282" t="str">
        <f t="shared" si="74"/>
        <v xml:space="preserve">OBRA SOCIL PER.SANIDAD                  </v>
      </c>
      <c r="X282">
        <f t="shared" si="75"/>
        <v>22</v>
      </c>
      <c r="AB282" t="str">
        <f t="shared" si="77"/>
        <v>OBRA SOCIL PER.SANIDAD</v>
      </c>
    </row>
    <row r="283" spans="1:28" x14ac:dyDescent="0.25">
      <c r="A283">
        <v>21140121</v>
      </c>
      <c r="B283" t="s">
        <v>162</v>
      </c>
      <c r="C283">
        <v>1</v>
      </c>
      <c r="E283">
        <v>76937.25</v>
      </c>
      <c r="L283">
        <v>88888</v>
      </c>
      <c r="M283" s="2">
        <f t="shared" si="67"/>
        <v>282</v>
      </c>
      <c r="N283" s="3">
        <f t="shared" si="68"/>
        <v>43677</v>
      </c>
      <c r="O283" t="s">
        <v>223</v>
      </c>
      <c r="P283">
        <f t="shared" si="76"/>
        <v>142</v>
      </c>
      <c r="Q283" s="6">
        <f t="shared" si="69"/>
        <v>1</v>
      </c>
      <c r="R283" s="5">
        <f t="shared" si="70"/>
        <v>0</v>
      </c>
      <c r="T283" s="5">
        <f t="shared" si="71"/>
        <v>31672.74</v>
      </c>
      <c r="U283">
        <f t="shared" si="72"/>
        <v>0</v>
      </c>
      <c r="V283">
        <f t="shared" si="73"/>
        <v>40</v>
      </c>
      <c r="W283" t="str">
        <f t="shared" si="74"/>
        <v xml:space="preserve">FATSA-CUOTA SINDICAL                    </v>
      </c>
      <c r="X283">
        <f t="shared" si="75"/>
        <v>20</v>
      </c>
      <c r="AB283" t="str">
        <f t="shared" si="77"/>
        <v>FATSA-CUOTA SINDICAL</v>
      </c>
    </row>
    <row r="284" spans="1:28" x14ac:dyDescent="0.25">
      <c r="A284">
        <v>21140122</v>
      </c>
      <c r="B284" t="s">
        <v>77</v>
      </c>
      <c r="C284">
        <v>1</v>
      </c>
      <c r="E284">
        <v>31672.74</v>
      </c>
      <c r="L284">
        <v>88888</v>
      </c>
      <c r="M284" s="2">
        <f t="shared" si="67"/>
        <v>283</v>
      </c>
      <c r="N284" s="3">
        <f t="shared" si="68"/>
        <v>43677</v>
      </c>
      <c r="O284" t="s">
        <v>224</v>
      </c>
      <c r="P284">
        <f t="shared" si="76"/>
        <v>143</v>
      </c>
      <c r="Q284" s="6">
        <f t="shared" si="69"/>
        <v>1</v>
      </c>
      <c r="R284" s="5">
        <f t="shared" si="70"/>
        <v>0</v>
      </c>
      <c r="T284" s="5">
        <f t="shared" si="71"/>
        <v>34077.03</v>
      </c>
      <c r="U284">
        <f t="shared" si="72"/>
        <v>0</v>
      </c>
      <c r="V284">
        <f t="shared" si="73"/>
        <v>40</v>
      </c>
      <c r="W284" t="str">
        <f t="shared" si="74"/>
        <v xml:space="preserve">OSPSA-AP.FED.ASOC.TRAB.                 </v>
      </c>
      <c r="X284">
        <f t="shared" si="75"/>
        <v>23</v>
      </c>
      <c r="AB284" t="str">
        <f t="shared" si="77"/>
        <v>OSPSA-AP.FED.ASOC.TRAB.</v>
      </c>
    </row>
    <row r="285" spans="1:28" x14ac:dyDescent="0.25">
      <c r="A285">
        <v>21140123</v>
      </c>
      <c r="B285" t="s">
        <v>163</v>
      </c>
      <c r="C285">
        <v>1</v>
      </c>
      <c r="E285">
        <v>34077.03</v>
      </c>
      <c r="L285">
        <v>88888</v>
      </c>
      <c r="M285" s="2">
        <f t="shared" si="67"/>
        <v>284</v>
      </c>
      <c r="N285" s="3">
        <f t="shared" si="68"/>
        <v>43677</v>
      </c>
      <c r="O285" t="s">
        <v>225</v>
      </c>
      <c r="P285">
        <f t="shared" si="76"/>
        <v>144</v>
      </c>
      <c r="Q285" s="6">
        <f t="shared" si="69"/>
        <v>1</v>
      </c>
      <c r="R285" s="5">
        <f t="shared" si="70"/>
        <v>0</v>
      </c>
      <c r="T285" s="5">
        <f t="shared" si="71"/>
        <v>18202.05</v>
      </c>
      <c r="U285">
        <f t="shared" si="72"/>
        <v>0</v>
      </c>
      <c r="V285">
        <f t="shared" si="73"/>
        <v>40</v>
      </c>
      <c r="W285" t="str">
        <f t="shared" si="74"/>
        <v xml:space="preserve">FAECYS ART 100-C.C.130/75               </v>
      </c>
      <c r="X285">
        <f t="shared" si="75"/>
        <v>25</v>
      </c>
      <c r="AB285" t="str">
        <f t="shared" si="77"/>
        <v>FAECYS ART 100-C.C.130/75</v>
      </c>
    </row>
    <row r="286" spans="1:28" x14ac:dyDescent="0.25">
      <c r="A286">
        <v>21140124</v>
      </c>
      <c r="B286" t="s">
        <v>164</v>
      </c>
      <c r="C286">
        <v>1</v>
      </c>
      <c r="E286">
        <v>18202.05</v>
      </c>
      <c r="L286">
        <v>88888</v>
      </c>
      <c r="M286" s="2">
        <f t="shared" si="67"/>
        <v>285</v>
      </c>
      <c r="N286" s="3">
        <f t="shared" si="68"/>
        <v>43677</v>
      </c>
      <c r="O286" t="s">
        <v>226</v>
      </c>
      <c r="P286">
        <f t="shared" si="76"/>
        <v>145</v>
      </c>
      <c r="Q286" s="6">
        <f t="shared" si="69"/>
        <v>1</v>
      </c>
      <c r="R286" s="5">
        <f t="shared" si="70"/>
        <v>0</v>
      </c>
      <c r="T286" s="5">
        <f t="shared" si="71"/>
        <v>761126.48</v>
      </c>
      <c r="U286">
        <f t="shared" si="72"/>
        <v>0</v>
      </c>
      <c r="V286">
        <f t="shared" si="73"/>
        <v>40</v>
      </c>
      <c r="W286" t="str">
        <f t="shared" si="74"/>
        <v xml:space="preserve">OBRA SOCIAL SEMPRE                      </v>
      </c>
      <c r="X286">
        <f t="shared" si="75"/>
        <v>18</v>
      </c>
      <c r="AB286" t="str">
        <f t="shared" si="77"/>
        <v>OBRA SOCIAL SEMPRE</v>
      </c>
    </row>
    <row r="287" spans="1:28" x14ac:dyDescent="0.25">
      <c r="A287">
        <v>21140125</v>
      </c>
      <c r="B287" t="s">
        <v>80</v>
      </c>
      <c r="C287">
        <v>1</v>
      </c>
      <c r="E287">
        <v>761126.48</v>
      </c>
      <c r="L287">
        <v>88888</v>
      </c>
      <c r="M287" s="2">
        <f t="shared" si="67"/>
        <v>286</v>
      </c>
      <c r="N287" s="3">
        <f t="shared" si="68"/>
        <v>43677</v>
      </c>
      <c r="O287" t="s">
        <v>227</v>
      </c>
      <c r="P287">
        <f t="shared" si="76"/>
        <v>146</v>
      </c>
      <c r="Q287" s="6">
        <f t="shared" si="69"/>
        <v>1</v>
      </c>
      <c r="R287" s="5">
        <f t="shared" si="70"/>
        <v>0</v>
      </c>
      <c r="T287" s="5">
        <f t="shared" si="71"/>
        <v>166826.79</v>
      </c>
      <c r="U287">
        <f t="shared" si="72"/>
        <v>0</v>
      </c>
      <c r="V287">
        <f t="shared" si="73"/>
        <v>40</v>
      </c>
      <c r="W287" t="str">
        <f t="shared" si="74"/>
        <v xml:space="preserve">SIPOS CUOTA SINDICAL                    </v>
      </c>
      <c r="X287">
        <f t="shared" si="75"/>
        <v>20</v>
      </c>
      <c r="AB287" t="str">
        <f t="shared" si="77"/>
        <v>SIPOS CUOTA SINDICAL</v>
      </c>
    </row>
    <row r="288" spans="1:28" x14ac:dyDescent="0.25">
      <c r="A288">
        <v>21140126</v>
      </c>
      <c r="B288" t="s">
        <v>81</v>
      </c>
      <c r="C288">
        <v>1</v>
      </c>
      <c r="E288">
        <v>166826.79</v>
      </c>
      <c r="L288">
        <v>88888</v>
      </c>
      <c r="M288" s="2">
        <f t="shared" si="67"/>
        <v>287</v>
      </c>
      <c r="N288" s="3">
        <f t="shared" si="68"/>
        <v>43677</v>
      </c>
      <c r="O288" t="s">
        <v>228</v>
      </c>
      <c r="P288">
        <f t="shared" si="76"/>
        <v>148</v>
      </c>
      <c r="Q288" s="6">
        <f t="shared" si="69"/>
        <v>1</v>
      </c>
      <c r="R288" s="5">
        <f t="shared" si="70"/>
        <v>0</v>
      </c>
      <c r="T288" s="5">
        <f t="shared" si="71"/>
        <v>131824.14000000001</v>
      </c>
      <c r="U288">
        <f t="shared" si="72"/>
        <v>0</v>
      </c>
      <c r="V288">
        <f t="shared" si="73"/>
        <v>40</v>
      </c>
      <c r="W288" t="str">
        <f t="shared" si="74"/>
        <v xml:space="preserve">S.T.L.Y F.AP.SOLID.2%                   </v>
      </c>
      <c r="X288">
        <f t="shared" si="75"/>
        <v>21</v>
      </c>
      <c r="AB288" t="str">
        <f t="shared" si="77"/>
        <v>S.T.L.Y F.AP.SOLID.2%</v>
      </c>
    </row>
    <row r="289" spans="1:28" x14ac:dyDescent="0.25">
      <c r="A289">
        <v>21140128</v>
      </c>
      <c r="B289" t="s">
        <v>165</v>
      </c>
      <c r="C289">
        <v>1</v>
      </c>
      <c r="E289">
        <v>131824.14000000001</v>
      </c>
      <c r="L289">
        <v>88888</v>
      </c>
      <c r="M289" s="2">
        <f t="shared" si="67"/>
        <v>288</v>
      </c>
      <c r="N289" s="3">
        <f t="shared" si="68"/>
        <v>43677</v>
      </c>
      <c r="O289" t="s">
        <v>229</v>
      </c>
      <c r="P289">
        <f t="shared" si="76"/>
        <v>149</v>
      </c>
      <c r="Q289" s="6">
        <f t="shared" si="69"/>
        <v>1</v>
      </c>
      <c r="R289" s="5">
        <f t="shared" si="70"/>
        <v>0</v>
      </c>
      <c r="T289" s="5">
        <f t="shared" si="71"/>
        <v>7071.67</v>
      </c>
      <c r="U289">
        <f t="shared" si="72"/>
        <v>0</v>
      </c>
      <c r="V289">
        <f t="shared" si="73"/>
        <v>40</v>
      </c>
      <c r="W289" t="str">
        <f t="shared" si="74"/>
        <v xml:space="preserve">OBRA SOCIAL PERS.ORG.CON                </v>
      </c>
      <c r="X289">
        <f t="shared" si="75"/>
        <v>24</v>
      </c>
      <c r="AB289" t="str">
        <f t="shared" si="77"/>
        <v>OBRA SOCIAL PERS.ORG.CON</v>
      </c>
    </row>
    <row r="290" spans="1:28" x14ac:dyDescent="0.25">
      <c r="A290">
        <v>21140130</v>
      </c>
      <c r="B290" t="s">
        <v>166</v>
      </c>
      <c r="C290">
        <v>1</v>
      </c>
      <c r="E290">
        <v>7071.67</v>
      </c>
      <c r="L290">
        <v>88888</v>
      </c>
      <c r="M290" s="2">
        <f t="shared" si="67"/>
        <v>289</v>
      </c>
      <c r="N290" s="3">
        <f t="shared" si="68"/>
        <v>43677</v>
      </c>
      <c r="O290" t="s">
        <v>230</v>
      </c>
      <c r="P290">
        <f t="shared" si="76"/>
        <v>152</v>
      </c>
      <c r="Q290" s="6">
        <f t="shared" si="69"/>
        <v>1</v>
      </c>
      <c r="R290" s="5">
        <f t="shared" si="70"/>
        <v>0</v>
      </c>
      <c r="T290" s="5">
        <f t="shared" si="71"/>
        <v>14937.97</v>
      </c>
      <c r="U290">
        <f t="shared" si="72"/>
        <v>0</v>
      </c>
      <c r="V290">
        <f t="shared" si="73"/>
        <v>40</v>
      </c>
      <c r="W290" t="str">
        <f t="shared" si="74"/>
        <v xml:space="preserve">OBRA SOCIAL U.P.C.N.                    </v>
      </c>
      <c r="X290">
        <f t="shared" si="75"/>
        <v>20</v>
      </c>
      <c r="AB290" t="str">
        <f t="shared" si="77"/>
        <v>OBRA SOCIAL U.P.C.N.</v>
      </c>
    </row>
    <row r="291" spans="1:28" x14ac:dyDescent="0.25">
      <c r="A291">
        <v>21140131</v>
      </c>
      <c r="B291" t="s">
        <v>167</v>
      </c>
      <c r="C291">
        <v>1</v>
      </c>
      <c r="E291">
        <v>14937.97</v>
      </c>
      <c r="L291">
        <v>88888</v>
      </c>
      <c r="M291" s="2">
        <f t="shared" si="67"/>
        <v>290</v>
      </c>
      <c r="N291" s="3">
        <f t="shared" si="68"/>
        <v>43677</v>
      </c>
      <c r="O291" t="s">
        <v>231</v>
      </c>
      <c r="P291">
        <f t="shared" si="76"/>
        <v>153</v>
      </c>
      <c r="Q291" s="6">
        <f t="shared" si="69"/>
        <v>1</v>
      </c>
      <c r="R291" s="5">
        <f t="shared" si="70"/>
        <v>0</v>
      </c>
      <c r="T291" s="5">
        <f t="shared" si="71"/>
        <v>49092.27</v>
      </c>
      <c r="U291">
        <f t="shared" si="72"/>
        <v>0</v>
      </c>
      <c r="V291">
        <f t="shared" si="73"/>
        <v>40</v>
      </c>
      <c r="W291" t="str">
        <f t="shared" si="74"/>
        <v xml:space="preserve">OBRA SOCIAL OSTEL (TELECOMUNIC          </v>
      </c>
      <c r="X291">
        <f t="shared" si="75"/>
        <v>30</v>
      </c>
      <c r="AB291" t="str">
        <f t="shared" si="77"/>
        <v>OBRA SOCIAL OSTEL (TELECOMUNIC</v>
      </c>
    </row>
    <row r="292" spans="1:28" x14ac:dyDescent="0.25">
      <c r="A292">
        <v>21140132</v>
      </c>
      <c r="B292" t="s">
        <v>295</v>
      </c>
      <c r="C292">
        <v>1</v>
      </c>
      <c r="E292">
        <v>49092.27</v>
      </c>
      <c r="L292">
        <v>88888</v>
      </c>
      <c r="M292" s="2">
        <f t="shared" si="67"/>
        <v>291</v>
      </c>
      <c r="N292" s="3">
        <f t="shared" si="68"/>
        <v>43677</v>
      </c>
      <c r="O292" t="s">
        <v>232</v>
      </c>
      <c r="P292">
        <f t="shared" si="76"/>
        <v>155</v>
      </c>
      <c r="Q292" s="6">
        <f t="shared" si="69"/>
        <v>1</v>
      </c>
      <c r="R292" s="5">
        <f t="shared" si="70"/>
        <v>0</v>
      </c>
      <c r="T292" s="5">
        <f t="shared" si="71"/>
        <v>40166.129999999997</v>
      </c>
      <c r="U292">
        <f t="shared" si="72"/>
        <v>0</v>
      </c>
      <c r="V292">
        <f t="shared" si="73"/>
        <v>40</v>
      </c>
      <c r="W292" t="str">
        <f t="shared" si="74"/>
        <v xml:space="preserve">OBRA SOCIAL PERS.DE TELEVISION          </v>
      </c>
      <c r="X292">
        <f t="shared" si="75"/>
        <v>30</v>
      </c>
      <c r="AB292" t="str">
        <f t="shared" si="77"/>
        <v>OBRA SOCIAL PERS.DE TELEVISION</v>
      </c>
    </row>
    <row r="293" spans="1:28" x14ac:dyDescent="0.25">
      <c r="A293">
        <v>21140134</v>
      </c>
      <c r="B293" t="s">
        <v>168</v>
      </c>
      <c r="C293">
        <v>1</v>
      </c>
      <c r="E293">
        <v>40166.129999999997</v>
      </c>
      <c r="L293">
        <v>88888</v>
      </c>
      <c r="M293" s="2">
        <f t="shared" si="67"/>
        <v>292</v>
      </c>
      <c r="N293" s="3">
        <f t="shared" si="68"/>
        <v>43677</v>
      </c>
      <c r="O293" t="s">
        <v>233</v>
      </c>
      <c r="P293">
        <f t="shared" si="76"/>
        <v>156</v>
      </c>
      <c r="Q293" s="6">
        <f t="shared" si="69"/>
        <v>1</v>
      </c>
      <c r="R293" s="5">
        <f t="shared" si="70"/>
        <v>0</v>
      </c>
      <c r="T293" s="5">
        <f t="shared" si="71"/>
        <v>136034.6</v>
      </c>
      <c r="U293">
        <f t="shared" si="72"/>
        <v>0</v>
      </c>
      <c r="V293">
        <f t="shared" si="73"/>
        <v>40</v>
      </c>
      <c r="W293" t="str">
        <f t="shared" si="74"/>
        <v xml:space="preserve">FARMACIA SINDICAL LUZ Y FZA             </v>
      </c>
      <c r="X293">
        <f t="shared" si="75"/>
        <v>27</v>
      </c>
      <c r="AB293" t="str">
        <f t="shared" si="77"/>
        <v>FARMACIA SINDICAL LUZ Y FZA</v>
      </c>
    </row>
    <row r="294" spans="1:28" x14ac:dyDescent="0.25">
      <c r="A294">
        <v>21140135</v>
      </c>
      <c r="B294" t="s">
        <v>169</v>
      </c>
      <c r="C294">
        <v>1</v>
      </c>
      <c r="E294">
        <v>136034.6</v>
      </c>
      <c r="L294">
        <v>88888</v>
      </c>
      <c r="M294" s="2">
        <f t="shared" si="67"/>
        <v>293</v>
      </c>
      <c r="N294" s="3">
        <f t="shared" si="68"/>
        <v>43677</v>
      </c>
      <c r="O294" t="s">
        <v>234</v>
      </c>
      <c r="P294">
        <f t="shared" si="76"/>
        <v>157</v>
      </c>
      <c r="Q294" s="6">
        <f t="shared" si="69"/>
        <v>1</v>
      </c>
      <c r="R294" s="5">
        <f t="shared" si="70"/>
        <v>0</v>
      </c>
      <c r="T294" s="5">
        <f t="shared" si="71"/>
        <v>29440.01</v>
      </c>
      <c r="U294">
        <f t="shared" si="72"/>
        <v>0</v>
      </c>
      <c r="V294">
        <f t="shared" si="73"/>
        <v>40</v>
      </c>
      <c r="W294" t="str">
        <f t="shared" si="74"/>
        <v xml:space="preserve">FE.N.T.O.S.(SIPOS)                      </v>
      </c>
      <c r="X294">
        <f t="shared" si="75"/>
        <v>18</v>
      </c>
      <c r="AB294" t="str">
        <f t="shared" si="77"/>
        <v>FE.N.T.O.S.(SIPOS)</v>
      </c>
    </row>
    <row r="295" spans="1:28" x14ac:dyDescent="0.25">
      <c r="A295">
        <v>21140136</v>
      </c>
      <c r="B295" t="s">
        <v>170</v>
      </c>
      <c r="C295">
        <v>1</v>
      </c>
      <c r="E295">
        <v>29440.01</v>
      </c>
      <c r="L295">
        <v>88888</v>
      </c>
      <c r="M295" s="2">
        <f t="shared" si="67"/>
        <v>294</v>
      </c>
      <c r="N295" s="3">
        <f t="shared" si="68"/>
        <v>43677</v>
      </c>
      <c r="O295" t="s">
        <v>235</v>
      </c>
      <c r="P295">
        <f t="shared" si="76"/>
        <v>158</v>
      </c>
      <c r="Q295" s="6">
        <f t="shared" si="69"/>
        <v>1</v>
      </c>
      <c r="R295" s="5">
        <f t="shared" si="70"/>
        <v>0</v>
      </c>
      <c r="T295" s="5">
        <f t="shared" si="71"/>
        <v>1202.1400000000001</v>
      </c>
      <c r="U295">
        <f t="shared" si="72"/>
        <v>0</v>
      </c>
      <c r="V295">
        <f t="shared" si="73"/>
        <v>40</v>
      </c>
      <c r="W295" t="str">
        <f t="shared" si="74"/>
        <v xml:space="preserve">CUOTA SOLIDARIA F.A.T.S.A               </v>
      </c>
      <c r="X295">
        <f t="shared" si="75"/>
        <v>25</v>
      </c>
      <c r="AB295" t="str">
        <f t="shared" si="77"/>
        <v>CUOTA SOLIDARIA F.A.T.S.A</v>
      </c>
    </row>
    <row r="296" spans="1:28" x14ac:dyDescent="0.25">
      <c r="A296">
        <v>21140137</v>
      </c>
      <c r="B296" t="s">
        <v>92</v>
      </c>
      <c r="C296">
        <v>1</v>
      </c>
      <c r="E296">
        <v>1202.1400000000001</v>
      </c>
      <c r="L296">
        <v>88888</v>
      </c>
      <c r="M296" s="2">
        <f t="shared" si="67"/>
        <v>295</v>
      </c>
      <c r="N296" s="3">
        <f t="shared" si="68"/>
        <v>43677</v>
      </c>
      <c r="O296" t="s">
        <v>236</v>
      </c>
      <c r="P296">
        <f t="shared" si="76"/>
        <v>159</v>
      </c>
      <c r="Q296" s="6">
        <f t="shared" si="69"/>
        <v>1</v>
      </c>
      <c r="R296" s="5">
        <f t="shared" si="70"/>
        <v>0</v>
      </c>
      <c r="T296" s="5">
        <f t="shared" si="71"/>
        <v>20374.63</v>
      </c>
      <c r="U296">
        <f t="shared" si="72"/>
        <v>0</v>
      </c>
      <c r="V296">
        <f t="shared" si="73"/>
        <v>40</v>
      </c>
      <c r="W296" t="str">
        <f t="shared" si="74"/>
        <v xml:space="preserve">OBRA SOCIAL SERENO DE BUQUES            </v>
      </c>
      <c r="X296">
        <f t="shared" si="75"/>
        <v>28</v>
      </c>
      <c r="AB296" t="str">
        <f t="shared" si="77"/>
        <v>OBRA SOCIAL SERENO DE BUQUES</v>
      </c>
    </row>
    <row r="297" spans="1:28" x14ac:dyDescent="0.25">
      <c r="A297" s="20">
        <v>21140138</v>
      </c>
      <c r="B297" s="20" t="s">
        <v>93</v>
      </c>
      <c r="C297">
        <v>1</v>
      </c>
      <c r="E297">
        <v>20374.63</v>
      </c>
      <c r="L297">
        <v>88888</v>
      </c>
      <c r="M297" s="2">
        <f t="shared" si="67"/>
        <v>296</v>
      </c>
      <c r="N297" s="3">
        <f t="shared" si="68"/>
        <v>43677</v>
      </c>
      <c r="O297" t="s">
        <v>237</v>
      </c>
      <c r="P297">
        <f t="shared" si="76"/>
        <v>160</v>
      </c>
      <c r="Q297" s="6">
        <f t="shared" si="69"/>
        <v>1</v>
      </c>
      <c r="R297" s="5">
        <f t="shared" si="70"/>
        <v>0</v>
      </c>
      <c r="T297" s="5">
        <f t="shared" si="71"/>
        <v>16633.7</v>
      </c>
      <c r="U297">
        <f t="shared" si="72"/>
        <v>0</v>
      </c>
      <c r="V297">
        <f t="shared" si="73"/>
        <v>40</v>
      </c>
      <c r="W297" t="str">
        <f t="shared" si="74"/>
        <v xml:space="preserve">OBRA SOCIAL DE CAPAT.ESTIBADOR          </v>
      </c>
      <c r="X297">
        <f t="shared" si="75"/>
        <v>30</v>
      </c>
      <c r="AB297" t="str">
        <f t="shared" si="77"/>
        <v>OBRA SOCIAL DE CAPAT.ESTIBADOR</v>
      </c>
    </row>
    <row r="298" spans="1:28" x14ac:dyDescent="0.25">
      <c r="A298">
        <v>21140139</v>
      </c>
      <c r="B298" t="s">
        <v>171</v>
      </c>
      <c r="C298">
        <v>1</v>
      </c>
      <c r="E298">
        <v>16633.7</v>
      </c>
      <c r="L298">
        <v>88888</v>
      </c>
      <c r="M298" s="2">
        <f t="shared" si="67"/>
        <v>297</v>
      </c>
      <c r="N298" s="3">
        <f t="shared" si="68"/>
        <v>43677</v>
      </c>
      <c r="O298" t="s">
        <v>238</v>
      </c>
      <c r="P298">
        <f t="shared" si="76"/>
        <v>161</v>
      </c>
      <c r="Q298" s="6">
        <f t="shared" si="69"/>
        <v>1</v>
      </c>
      <c r="R298" s="5">
        <f t="shared" si="70"/>
        <v>0</v>
      </c>
      <c r="T298" s="5">
        <f t="shared" si="71"/>
        <v>6723.15</v>
      </c>
      <c r="U298">
        <f t="shared" si="72"/>
        <v>0</v>
      </c>
      <c r="V298">
        <f t="shared" si="73"/>
        <v>40</v>
      </c>
      <c r="W298" t="str">
        <f t="shared" si="74"/>
        <v xml:space="preserve">O.SOC.ASOC.MUT.P.JERAR.BCO.OFI          </v>
      </c>
      <c r="X298">
        <f t="shared" si="75"/>
        <v>30</v>
      </c>
      <c r="AB298" t="str">
        <f t="shared" si="77"/>
        <v>O.SOC.ASOC.MUT.P.JERAR.BCO.OFI</v>
      </c>
    </row>
    <row r="299" spans="1:28" x14ac:dyDescent="0.25">
      <c r="A299">
        <v>21140140</v>
      </c>
      <c r="B299" t="s">
        <v>296</v>
      </c>
      <c r="C299">
        <v>1</v>
      </c>
      <c r="E299">
        <v>6723.15</v>
      </c>
      <c r="L299">
        <v>88888</v>
      </c>
      <c r="M299" s="2">
        <f t="shared" si="67"/>
        <v>298</v>
      </c>
      <c r="N299" s="3">
        <f t="shared" si="68"/>
        <v>43677</v>
      </c>
      <c r="O299" t="s">
        <v>239</v>
      </c>
      <c r="P299">
        <f t="shared" si="76"/>
        <v>163</v>
      </c>
      <c r="Q299" s="6">
        <f t="shared" si="69"/>
        <v>1</v>
      </c>
      <c r="R299" s="5">
        <f t="shared" si="70"/>
        <v>0</v>
      </c>
      <c r="T299" s="5">
        <f t="shared" si="71"/>
        <v>6812.82</v>
      </c>
      <c r="U299">
        <f t="shared" si="72"/>
        <v>0</v>
      </c>
      <c r="V299">
        <f t="shared" si="73"/>
        <v>40</v>
      </c>
      <c r="W299" t="str">
        <f t="shared" si="74"/>
        <v xml:space="preserve">INACAP-INST.ARG.DE CAP.PRO              </v>
      </c>
      <c r="X299">
        <f t="shared" si="75"/>
        <v>26</v>
      </c>
      <c r="AB299" t="str">
        <f t="shared" si="77"/>
        <v>INACAP-INST.ARG.DE CAP.PRO</v>
      </c>
    </row>
    <row r="300" spans="1:28" x14ac:dyDescent="0.25">
      <c r="A300">
        <v>21140142</v>
      </c>
      <c r="B300" t="s">
        <v>172</v>
      </c>
      <c r="C300">
        <v>1</v>
      </c>
      <c r="E300">
        <v>6812.82</v>
      </c>
      <c r="L300">
        <v>88888</v>
      </c>
      <c r="M300" s="2">
        <f t="shared" si="67"/>
        <v>299</v>
      </c>
      <c r="N300" s="3">
        <f t="shared" si="68"/>
        <v>43677</v>
      </c>
      <c r="O300" t="s">
        <v>240</v>
      </c>
      <c r="P300">
        <f t="shared" si="76"/>
        <v>164</v>
      </c>
      <c r="Q300" s="6">
        <f t="shared" si="69"/>
        <v>1</v>
      </c>
      <c r="R300" s="5">
        <f t="shared" si="70"/>
        <v>0</v>
      </c>
      <c r="T300" s="5">
        <f t="shared" si="71"/>
        <v>29903.360000000001</v>
      </c>
      <c r="U300">
        <f t="shared" si="72"/>
        <v>0</v>
      </c>
      <c r="V300">
        <f t="shared" si="73"/>
        <v>40</v>
      </c>
      <c r="W300" t="str">
        <f t="shared" si="74"/>
        <v xml:space="preserve">CONTB.SOLID.TELEFONIA                   </v>
      </c>
      <c r="X300">
        <f t="shared" si="75"/>
        <v>21</v>
      </c>
      <c r="AB300" t="str">
        <f t="shared" si="77"/>
        <v>CONTB.SOLID.TELEFONIA</v>
      </c>
    </row>
    <row r="301" spans="1:28" x14ac:dyDescent="0.25">
      <c r="A301">
        <v>21140143</v>
      </c>
      <c r="B301" t="s">
        <v>173</v>
      </c>
      <c r="C301">
        <v>1</v>
      </c>
      <c r="E301">
        <v>29903.360000000001</v>
      </c>
      <c r="L301">
        <v>88888</v>
      </c>
      <c r="M301" s="2">
        <f t="shared" si="67"/>
        <v>300</v>
      </c>
      <c r="N301" s="3">
        <f t="shared" si="68"/>
        <v>43677</v>
      </c>
      <c r="O301" t="s">
        <v>241</v>
      </c>
      <c r="P301">
        <f t="shared" si="76"/>
        <v>165</v>
      </c>
      <c r="Q301" s="6">
        <f t="shared" si="69"/>
        <v>1</v>
      </c>
      <c r="R301" s="5">
        <f t="shared" si="70"/>
        <v>0</v>
      </c>
      <c r="T301" s="5">
        <f t="shared" si="71"/>
        <v>8884.2199999999993</v>
      </c>
      <c r="U301">
        <f t="shared" si="72"/>
        <v>0</v>
      </c>
      <c r="V301">
        <f t="shared" si="73"/>
        <v>40</v>
      </c>
      <c r="W301" t="str">
        <f t="shared" si="74"/>
        <v xml:space="preserve">CUOTA SINDICAL TELEFONIA                </v>
      </c>
      <c r="X301">
        <f t="shared" si="75"/>
        <v>24</v>
      </c>
      <c r="AB301" t="str">
        <f t="shared" si="77"/>
        <v>CUOTA SINDICAL TELEFONIA</v>
      </c>
    </row>
    <row r="302" spans="1:28" x14ac:dyDescent="0.25">
      <c r="A302">
        <v>21140144</v>
      </c>
      <c r="B302" t="s">
        <v>174</v>
      </c>
      <c r="C302">
        <v>1</v>
      </c>
      <c r="E302">
        <v>8884.2199999999993</v>
      </c>
      <c r="L302">
        <v>88888</v>
      </c>
      <c r="M302" s="2">
        <f t="shared" si="67"/>
        <v>301</v>
      </c>
      <c r="N302" s="3">
        <f t="shared" si="68"/>
        <v>43677</v>
      </c>
      <c r="O302" t="s">
        <v>242</v>
      </c>
      <c r="P302">
        <f t="shared" si="76"/>
        <v>166</v>
      </c>
      <c r="Q302" s="6">
        <f t="shared" si="69"/>
        <v>1</v>
      </c>
      <c r="R302" s="5">
        <f t="shared" si="70"/>
        <v>0</v>
      </c>
      <c r="T302" s="5">
        <f t="shared" si="71"/>
        <v>17756.47</v>
      </c>
      <c r="U302">
        <f t="shared" si="72"/>
        <v>0</v>
      </c>
      <c r="V302">
        <f t="shared" si="73"/>
        <v>40</v>
      </c>
      <c r="W302" t="str">
        <f t="shared" si="74"/>
        <v xml:space="preserve">CES. SINDICAT.LA PAMPA                  </v>
      </c>
      <c r="X302">
        <f t="shared" si="75"/>
        <v>22</v>
      </c>
      <c r="AB302" t="str">
        <f t="shared" si="77"/>
        <v>CES. SINDICAT.LA PAMPA</v>
      </c>
    </row>
    <row r="303" spans="1:28" x14ac:dyDescent="0.25">
      <c r="A303">
        <v>21140145</v>
      </c>
      <c r="B303" t="s">
        <v>175</v>
      </c>
      <c r="C303">
        <v>1</v>
      </c>
      <c r="E303">
        <v>17756.47</v>
      </c>
      <c r="L303">
        <v>88888</v>
      </c>
      <c r="M303" s="2">
        <f t="shared" si="67"/>
        <v>302</v>
      </c>
      <c r="N303" s="3">
        <f t="shared" si="68"/>
        <v>43677</v>
      </c>
      <c r="O303" t="s">
        <v>243</v>
      </c>
      <c r="P303">
        <f t="shared" si="76"/>
        <v>167</v>
      </c>
      <c r="Q303" s="6">
        <f t="shared" si="69"/>
        <v>1</v>
      </c>
      <c r="R303" s="5">
        <f t="shared" si="70"/>
        <v>0</v>
      </c>
      <c r="T303" s="5">
        <f t="shared" si="71"/>
        <v>292185.76</v>
      </c>
      <c r="U303">
        <f t="shared" si="72"/>
        <v>0</v>
      </c>
      <c r="V303">
        <f t="shared" si="73"/>
        <v>40</v>
      </c>
      <c r="W303" t="str">
        <f t="shared" si="74"/>
        <v xml:space="preserve">AP.ADIC.RES.MTYSS NRO.268               </v>
      </c>
      <c r="X303">
        <f t="shared" si="75"/>
        <v>25</v>
      </c>
      <c r="AB303" t="str">
        <f t="shared" si="77"/>
        <v>AP.ADIC.RES.MTYSS NRO.268</v>
      </c>
    </row>
    <row r="304" spans="1:28" x14ac:dyDescent="0.25">
      <c r="A304">
        <v>21140146</v>
      </c>
      <c r="B304" t="s">
        <v>176</v>
      </c>
      <c r="C304">
        <v>1</v>
      </c>
      <c r="E304">
        <v>292185.76</v>
      </c>
      <c r="L304">
        <v>88888</v>
      </c>
      <c r="M304" s="2">
        <f>+M303+1</f>
        <v>303</v>
      </c>
      <c r="N304" s="3">
        <f>+A$1</f>
        <v>43677</v>
      </c>
      <c r="O304" t="s">
        <v>244</v>
      </c>
      <c r="P304">
        <f t="shared" si="76"/>
        <v>168</v>
      </c>
      <c r="Q304" s="6">
        <f t="shared" ref="Q304:R306" si="78">+C305</f>
        <v>1</v>
      </c>
      <c r="R304" s="5">
        <f t="shared" si="78"/>
        <v>0</v>
      </c>
      <c r="T304" s="5">
        <f>+E305</f>
        <v>80305.39</v>
      </c>
      <c r="U304">
        <f>LEN(S304)</f>
        <v>0</v>
      </c>
      <c r="V304">
        <f>LEN(O304)</f>
        <v>40</v>
      </c>
      <c r="W304" t="str">
        <f>AB304 &amp; REPT(" ",(40-X304))</f>
        <v xml:space="preserve">OBRA SOCIAL FERROVIARIA                 </v>
      </c>
      <c r="X304">
        <f>LEN(AB304)</f>
        <v>23</v>
      </c>
      <c r="AB304" t="str">
        <f t="shared" si="77"/>
        <v>OBRA SOCIAL FERROVIARIA</v>
      </c>
    </row>
    <row r="305" spans="1:28" x14ac:dyDescent="0.25">
      <c r="A305">
        <v>21140147</v>
      </c>
      <c r="B305" t="s">
        <v>177</v>
      </c>
      <c r="C305">
        <v>1</v>
      </c>
      <c r="E305">
        <v>80305.39</v>
      </c>
      <c r="L305">
        <v>88888</v>
      </c>
      <c r="M305" s="2">
        <f>+M304+1</f>
        <v>304</v>
      </c>
      <c r="N305" s="3">
        <f>+A$1</f>
        <v>43677</v>
      </c>
      <c r="O305" t="s">
        <v>245</v>
      </c>
      <c r="P305">
        <f t="shared" si="76"/>
        <v>169</v>
      </c>
      <c r="Q305" s="6">
        <f t="shared" si="78"/>
        <v>1</v>
      </c>
      <c r="R305" s="5">
        <f t="shared" si="78"/>
        <v>0</v>
      </c>
      <c r="T305" s="5">
        <f>+E306</f>
        <v>24270.3</v>
      </c>
      <c r="U305">
        <f>LEN(S305)</f>
        <v>0</v>
      </c>
      <c r="V305">
        <f>LEN(O305)</f>
        <v>40</v>
      </c>
      <c r="W305" t="str">
        <f>AB305 &amp; REPT(" ",(40-X305))</f>
        <v xml:space="preserve">OBRA SOCIAL OSCTCP                      </v>
      </c>
      <c r="X305">
        <f>LEN(AB305)</f>
        <v>18</v>
      </c>
      <c r="AB305" t="str">
        <f t="shared" si="77"/>
        <v>OBRA SOCIAL OSCTCP</v>
      </c>
    </row>
    <row r="306" spans="1:28" x14ac:dyDescent="0.25">
      <c r="A306">
        <v>21140148</v>
      </c>
      <c r="B306" t="s">
        <v>178</v>
      </c>
      <c r="C306">
        <v>1</v>
      </c>
      <c r="E306">
        <v>24270.3</v>
      </c>
      <c r="L306">
        <v>88888</v>
      </c>
      <c r="M306" s="2">
        <f>+M305+1</f>
        <v>305</v>
      </c>
      <c r="N306" s="3">
        <f>+A$1</f>
        <v>43677</v>
      </c>
      <c r="O306" t="s">
        <v>246</v>
      </c>
      <c r="P306">
        <f t="shared" si="76"/>
        <v>170</v>
      </c>
      <c r="Q306" s="6">
        <f t="shared" si="78"/>
        <v>1</v>
      </c>
      <c r="R306" s="5">
        <f t="shared" si="78"/>
        <v>0</v>
      </c>
      <c r="T306" s="5">
        <f>+E307</f>
        <v>15080.36</v>
      </c>
      <c r="U306">
        <f>LEN(S306)</f>
        <v>0</v>
      </c>
      <c r="V306">
        <f>LEN(O306)</f>
        <v>40</v>
      </c>
      <c r="W306" t="str">
        <f>AB306 &amp; REPT(" ",(40-X306))</f>
        <v xml:space="preserve">CUOTA SINDICAL UTA 1,5%                 </v>
      </c>
      <c r="X306">
        <f>LEN(AB306)</f>
        <v>23</v>
      </c>
      <c r="AB306" t="str">
        <f t="shared" si="77"/>
        <v>CUOTA SINDICAL UTA 1,5%</v>
      </c>
    </row>
    <row r="307" spans="1:28" x14ac:dyDescent="0.25">
      <c r="A307">
        <v>21140149</v>
      </c>
      <c r="B307" t="s">
        <v>179</v>
      </c>
      <c r="C307">
        <v>1</v>
      </c>
      <c r="E307">
        <v>15080.36</v>
      </c>
      <c r="L307">
        <v>88888</v>
      </c>
      <c r="M307" s="2">
        <f t="shared" ref="M307:M341" si="79">+M306+1</f>
        <v>306</v>
      </c>
      <c r="N307" s="3">
        <f t="shared" ref="N307:N341" si="80">+A$1</f>
        <v>43677</v>
      </c>
      <c r="O307" t="s">
        <v>247</v>
      </c>
      <c r="P307">
        <f t="shared" ref="P307:P341" si="81">LOOKUP(A308,F$2:F$153,H$2:H$153)</f>
        <v>171</v>
      </c>
      <c r="Q307" s="6">
        <f t="shared" ref="Q307:Q341" si="82">+C308</f>
        <v>1</v>
      </c>
      <c r="R307" s="5">
        <f t="shared" ref="R307:R341" si="83">+D308</f>
        <v>0</v>
      </c>
      <c r="T307" s="5">
        <f t="shared" ref="T307:T341" si="84">+E308</f>
        <v>10053.56</v>
      </c>
      <c r="U307">
        <f t="shared" ref="U307:U341" si="85">LEN(S307)</f>
        <v>0</v>
      </c>
      <c r="V307">
        <f t="shared" ref="V307:V341" si="86">LEN(O307)</f>
        <v>40</v>
      </c>
      <c r="W307" t="str">
        <f t="shared" ref="W307:W341" si="87">AB307 &amp; REPT(" ",(40-X307))</f>
        <v xml:space="preserve">APORTE SOLIDARIO OBLIGATORIO            </v>
      </c>
      <c r="X307">
        <f t="shared" ref="X307:X341" si="88">LEN(AB307)</f>
        <v>28</v>
      </c>
      <c r="AB307" t="str">
        <f t="shared" ref="AB307:AB341" si="89">LOOKUP(A308,F$2:F$153,G$2:G$153)</f>
        <v>APORTE SOLIDARIO OBLIGATORIO</v>
      </c>
    </row>
    <row r="308" spans="1:28" x14ac:dyDescent="0.25">
      <c r="A308">
        <v>21140150</v>
      </c>
      <c r="B308" t="s">
        <v>180</v>
      </c>
      <c r="C308">
        <v>1</v>
      </c>
      <c r="E308">
        <v>10053.56</v>
      </c>
      <c r="L308">
        <v>88888</v>
      </c>
      <c r="M308" s="2">
        <f t="shared" si="79"/>
        <v>307</v>
      </c>
      <c r="N308" s="3">
        <f t="shared" si="80"/>
        <v>43677</v>
      </c>
      <c r="O308" t="s">
        <v>248</v>
      </c>
      <c r="P308">
        <f t="shared" si="81"/>
        <v>172</v>
      </c>
      <c r="Q308" s="6">
        <f t="shared" si="82"/>
        <v>1</v>
      </c>
      <c r="R308" s="5">
        <f t="shared" si="83"/>
        <v>0</v>
      </c>
      <c r="T308" s="5">
        <f t="shared" si="84"/>
        <v>12431.09</v>
      </c>
      <c r="U308">
        <f t="shared" si="85"/>
        <v>0</v>
      </c>
      <c r="V308">
        <f t="shared" si="86"/>
        <v>40</v>
      </c>
      <c r="W308" t="str">
        <f t="shared" si="87"/>
        <v xml:space="preserve">OBRA SOCIAL OSMMEDT                     </v>
      </c>
      <c r="X308">
        <f t="shared" si="88"/>
        <v>19</v>
      </c>
      <c r="AB308" t="str">
        <f t="shared" si="89"/>
        <v>OBRA SOCIAL OSMMEDT</v>
      </c>
    </row>
    <row r="309" spans="1:28" x14ac:dyDescent="0.25">
      <c r="A309">
        <v>21140151</v>
      </c>
      <c r="B309" t="s">
        <v>106</v>
      </c>
      <c r="C309">
        <v>1</v>
      </c>
      <c r="E309">
        <v>12431.09</v>
      </c>
      <c r="L309">
        <v>88888</v>
      </c>
      <c r="M309" s="2">
        <f t="shared" si="79"/>
        <v>308</v>
      </c>
      <c r="N309" s="3">
        <f t="shared" si="80"/>
        <v>43677</v>
      </c>
      <c r="O309" t="s">
        <v>249</v>
      </c>
      <c r="P309">
        <f t="shared" si="81"/>
        <v>175</v>
      </c>
      <c r="Q309" s="6">
        <f t="shared" si="82"/>
        <v>1</v>
      </c>
      <c r="R309" s="5">
        <f t="shared" si="83"/>
        <v>0</v>
      </c>
      <c r="T309" s="5">
        <f t="shared" si="84"/>
        <v>437778.05</v>
      </c>
      <c r="U309">
        <f t="shared" si="85"/>
        <v>0</v>
      </c>
      <c r="V309">
        <f t="shared" si="86"/>
        <v>40</v>
      </c>
      <c r="W309" t="str">
        <f t="shared" si="87"/>
        <v xml:space="preserve">RET.POR ORDEN JUDICIAL                  </v>
      </c>
      <c r="X309">
        <f t="shared" si="88"/>
        <v>22</v>
      </c>
      <c r="AB309" t="str">
        <f t="shared" si="89"/>
        <v>RET.POR ORDEN JUDICIAL</v>
      </c>
    </row>
    <row r="310" spans="1:28" x14ac:dyDescent="0.25">
      <c r="A310">
        <v>21140152</v>
      </c>
      <c r="B310" t="s">
        <v>181</v>
      </c>
      <c r="C310">
        <v>1</v>
      </c>
      <c r="E310">
        <v>437778.05</v>
      </c>
      <c r="L310">
        <v>88888</v>
      </c>
      <c r="M310" s="2">
        <f t="shared" si="79"/>
        <v>309</v>
      </c>
      <c r="N310" s="3">
        <f t="shared" si="80"/>
        <v>43677</v>
      </c>
      <c r="O310" t="s">
        <v>250</v>
      </c>
      <c r="P310">
        <f t="shared" si="81"/>
        <v>177</v>
      </c>
      <c r="Q310" s="6">
        <f t="shared" si="82"/>
        <v>1</v>
      </c>
      <c r="R310" s="5">
        <f t="shared" si="83"/>
        <v>0</v>
      </c>
      <c r="T310" s="5">
        <f t="shared" si="84"/>
        <v>611775.71</v>
      </c>
      <c r="U310">
        <f t="shared" si="85"/>
        <v>0</v>
      </c>
      <c r="V310">
        <f t="shared" si="86"/>
        <v>40</v>
      </c>
      <c r="W310" t="str">
        <f t="shared" si="87"/>
        <v xml:space="preserve">LEY 24557 RIESGO DEL TRABAJO            </v>
      </c>
      <c r="X310">
        <f t="shared" si="88"/>
        <v>28</v>
      </c>
      <c r="AB310" t="str">
        <f t="shared" si="89"/>
        <v>LEY 24557 RIESGO DEL TRABAJO</v>
      </c>
    </row>
    <row r="311" spans="1:28" x14ac:dyDescent="0.25">
      <c r="A311">
        <v>21140154</v>
      </c>
      <c r="B311" t="s">
        <v>182</v>
      </c>
      <c r="C311">
        <v>1</v>
      </c>
      <c r="E311">
        <v>611775.71</v>
      </c>
      <c r="L311">
        <v>88888</v>
      </c>
      <c r="M311" s="2">
        <f t="shared" si="79"/>
        <v>310</v>
      </c>
      <c r="N311" s="3">
        <f t="shared" si="80"/>
        <v>43677</v>
      </c>
      <c r="O311" t="s">
        <v>251</v>
      </c>
      <c r="P311">
        <f t="shared" si="81"/>
        <v>1456</v>
      </c>
      <c r="Q311" s="6">
        <f t="shared" si="82"/>
        <v>1</v>
      </c>
      <c r="R311" s="5">
        <f t="shared" si="83"/>
        <v>0</v>
      </c>
      <c r="T311" s="5">
        <f t="shared" si="84"/>
        <v>6738.54</v>
      </c>
      <c r="U311">
        <f t="shared" si="85"/>
        <v>0</v>
      </c>
      <c r="V311">
        <f t="shared" si="86"/>
        <v>40</v>
      </c>
      <c r="W311" t="str">
        <f t="shared" si="87"/>
        <v xml:space="preserve">O.S.AERONAV.DE ENTES PRIVADOS           </v>
      </c>
      <c r="X311">
        <f t="shared" si="88"/>
        <v>29</v>
      </c>
      <c r="AB311" t="str">
        <f t="shared" si="89"/>
        <v>O.S.AERONAV.DE ENTES PRIVADOS</v>
      </c>
    </row>
    <row r="312" spans="1:28" x14ac:dyDescent="0.25">
      <c r="A312">
        <v>21140160</v>
      </c>
      <c r="B312" t="s">
        <v>183</v>
      </c>
      <c r="C312">
        <v>1</v>
      </c>
      <c r="E312">
        <v>6738.54</v>
      </c>
      <c r="L312">
        <v>88888</v>
      </c>
      <c r="M312" s="2">
        <f t="shared" si="79"/>
        <v>311</v>
      </c>
      <c r="N312" s="3">
        <f t="shared" si="80"/>
        <v>43677</v>
      </c>
      <c r="O312" t="s">
        <v>252</v>
      </c>
      <c r="P312">
        <f t="shared" si="81"/>
        <v>1477</v>
      </c>
      <c r="Q312" s="6">
        <f t="shared" si="82"/>
        <v>1</v>
      </c>
      <c r="R312" s="5">
        <f t="shared" si="83"/>
        <v>0</v>
      </c>
      <c r="T312" s="5">
        <f t="shared" si="84"/>
        <v>17326.77</v>
      </c>
      <c r="U312">
        <f t="shared" si="85"/>
        <v>0</v>
      </c>
      <c r="V312">
        <f t="shared" si="86"/>
        <v>40</v>
      </c>
      <c r="W312" t="str">
        <f t="shared" si="87"/>
        <v xml:space="preserve">OSASE                                   </v>
      </c>
      <c r="X312">
        <f t="shared" si="88"/>
        <v>5</v>
      </c>
      <c r="AB312" t="str">
        <f t="shared" si="89"/>
        <v>OSASE</v>
      </c>
    </row>
    <row r="313" spans="1:28" x14ac:dyDescent="0.25">
      <c r="A313">
        <v>21140162</v>
      </c>
      <c r="B313" t="s">
        <v>115</v>
      </c>
      <c r="C313">
        <v>1</v>
      </c>
      <c r="E313">
        <v>17326.77</v>
      </c>
      <c r="L313">
        <v>88888</v>
      </c>
      <c r="M313" s="2">
        <f t="shared" si="79"/>
        <v>312</v>
      </c>
      <c r="N313" s="3">
        <f t="shared" si="80"/>
        <v>43677</v>
      </c>
      <c r="O313" t="s">
        <v>253</v>
      </c>
      <c r="P313">
        <f t="shared" si="81"/>
        <v>1487</v>
      </c>
      <c r="Q313" s="6">
        <f t="shared" si="82"/>
        <v>1</v>
      </c>
      <c r="R313" s="5">
        <f t="shared" si="83"/>
        <v>0</v>
      </c>
      <c r="T313" s="5">
        <f t="shared" si="84"/>
        <v>345538.74</v>
      </c>
      <c r="U313">
        <f t="shared" si="85"/>
        <v>0</v>
      </c>
      <c r="V313">
        <f t="shared" si="86"/>
        <v>40</v>
      </c>
      <c r="W313" t="str">
        <f t="shared" si="87"/>
        <v xml:space="preserve">SANCOR SALUD                            </v>
      </c>
      <c r="X313">
        <f t="shared" si="88"/>
        <v>12</v>
      </c>
      <c r="AB313" t="str">
        <f t="shared" si="89"/>
        <v>SANCOR SALUD</v>
      </c>
    </row>
    <row r="314" spans="1:28" x14ac:dyDescent="0.25">
      <c r="A314">
        <v>21140163</v>
      </c>
      <c r="B314" t="s">
        <v>184</v>
      </c>
      <c r="C314">
        <v>1</v>
      </c>
      <c r="E314">
        <v>345538.74</v>
      </c>
      <c r="L314">
        <v>88888</v>
      </c>
      <c r="M314" s="2">
        <f t="shared" si="79"/>
        <v>313</v>
      </c>
      <c r="N314" s="3">
        <f t="shared" si="80"/>
        <v>43677</v>
      </c>
      <c r="O314" t="s">
        <v>254</v>
      </c>
      <c r="P314">
        <f t="shared" si="81"/>
        <v>1501</v>
      </c>
      <c r="Q314" s="6">
        <f t="shared" si="82"/>
        <v>1</v>
      </c>
      <c r="R314" s="5">
        <f t="shared" si="83"/>
        <v>0</v>
      </c>
      <c r="T314" s="5">
        <f t="shared" si="84"/>
        <v>8029.36</v>
      </c>
      <c r="U314">
        <f t="shared" si="85"/>
        <v>0</v>
      </c>
      <c r="V314">
        <f t="shared" si="86"/>
        <v>40</v>
      </c>
      <c r="W314" t="str">
        <f t="shared" si="87"/>
        <v xml:space="preserve">O.S.ELEC.NAVALES                        </v>
      </c>
      <c r="X314">
        <f t="shared" si="88"/>
        <v>16</v>
      </c>
      <c r="AB314" t="str">
        <f t="shared" si="89"/>
        <v>O.S.ELEC.NAVALES</v>
      </c>
    </row>
    <row r="315" spans="1:28" x14ac:dyDescent="0.25">
      <c r="A315">
        <v>21140165</v>
      </c>
      <c r="B315" t="s">
        <v>185</v>
      </c>
      <c r="C315">
        <v>1</v>
      </c>
      <c r="E315">
        <v>8029.36</v>
      </c>
      <c r="L315">
        <v>88888</v>
      </c>
      <c r="M315" s="2">
        <f t="shared" si="79"/>
        <v>314</v>
      </c>
      <c r="N315" s="3">
        <f t="shared" si="80"/>
        <v>43677</v>
      </c>
      <c r="O315" t="s">
        <v>255</v>
      </c>
      <c r="P315">
        <f t="shared" si="81"/>
        <v>1507</v>
      </c>
      <c r="Q315" s="6">
        <f t="shared" si="82"/>
        <v>1</v>
      </c>
      <c r="R315" s="5">
        <f t="shared" si="83"/>
        <v>0</v>
      </c>
      <c r="T315" s="5">
        <f t="shared" si="84"/>
        <v>78835.179999999993</v>
      </c>
      <c r="U315">
        <f t="shared" si="85"/>
        <v>0</v>
      </c>
      <c r="V315">
        <f t="shared" si="86"/>
        <v>40</v>
      </c>
      <c r="W315" t="str">
        <f t="shared" si="87"/>
        <v xml:space="preserve">art.47 Aporte Solidario                 </v>
      </c>
      <c r="X315">
        <f t="shared" si="88"/>
        <v>23</v>
      </c>
      <c r="AB315" t="str">
        <f t="shared" si="89"/>
        <v>art.47 Aporte Solidario</v>
      </c>
    </row>
    <row r="316" spans="1:28" x14ac:dyDescent="0.25">
      <c r="A316">
        <v>21140166</v>
      </c>
      <c r="B316" t="s">
        <v>186</v>
      </c>
      <c r="C316">
        <v>1</v>
      </c>
      <c r="E316">
        <v>78835.179999999993</v>
      </c>
      <c r="L316">
        <v>88888</v>
      </c>
      <c r="M316" s="2">
        <f t="shared" si="79"/>
        <v>315</v>
      </c>
      <c r="N316" s="3">
        <f t="shared" si="80"/>
        <v>43677</v>
      </c>
      <c r="O316" t="s">
        <v>256</v>
      </c>
      <c r="P316">
        <f t="shared" si="81"/>
        <v>1508</v>
      </c>
      <c r="Q316" s="6">
        <f t="shared" si="82"/>
        <v>1</v>
      </c>
      <c r="R316" s="5">
        <f t="shared" si="83"/>
        <v>0</v>
      </c>
      <c r="T316" s="5">
        <f t="shared" si="84"/>
        <v>182947.7</v>
      </c>
      <c r="U316">
        <f t="shared" si="85"/>
        <v>0</v>
      </c>
      <c r="V316">
        <f t="shared" si="86"/>
        <v>40</v>
      </c>
      <c r="W316" t="str">
        <f t="shared" si="87"/>
        <v xml:space="preserve">Focon 6% art.42                         </v>
      </c>
      <c r="X316">
        <f t="shared" si="88"/>
        <v>15</v>
      </c>
      <c r="AB316" t="str">
        <f t="shared" si="89"/>
        <v>Focon 6% art.42</v>
      </c>
    </row>
    <row r="317" spans="1:28" x14ac:dyDescent="0.25">
      <c r="A317">
        <v>21140167</v>
      </c>
      <c r="B317" t="s">
        <v>187</v>
      </c>
      <c r="C317">
        <v>1</v>
      </c>
      <c r="E317">
        <v>182947.7</v>
      </c>
      <c r="L317">
        <v>88888</v>
      </c>
      <c r="M317" s="2">
        <f t="shared" si="79"/>
        <v>316</v>
      </c>
      <c r="N317" s="3">
        <f t="shared" si="80"/>
        <v>43677</v>
      </c>
      <c r="O317" t="s">
        <v>257</v>
      </c>
      <c r="P317">
        <f t="shared" si="81"/>
        <v>1509</v>
      </c>
      <c r="Q317" s="6">
        <f t="shared" si="82"/>
        <v>1</v>
      </c>
      <c r="R317" s="5">
        <f t="shared" si="83"/>
        <v>0</v>
      </c>
      <c r="T317" s="5">
        <f t="shared" si="84"/>
        <v>131391.97</v>
      </c>
      <c r="U317">
        <f t="shared" si="85"/>
        <v>0</v>
      </c>
      <c r="V317">
        <f t="shared" si="86"/>
        <v>40</v>
      </c>
      <c r="W317" t="str">
        <f t="shared" si="87"/>
        <v xml:space="preserve">art.48 Ac.Soc.                          </v>
      </c>
      <c r="X317">
        <f t="shared" si="88"/>
        <v>14</v>
      </c>
      <c r="AB317" t="str">
        <f t="shared" si="89"/>
        <v>art.48 Ac.Soc.</v>
      </c>
    </row>
    <row r="318" spans="1:28" x14ac:dyDescent="0.25">
      <c r="A318">
        <v>21140168</v>
      </c>
      <c r="B318" t="s">
        <v>188</v>
      </c>
      <c r="C318">
        <v>1</v>
      </c>
      <c r="E318">
        <v>131391.97</v>
      </c>
      <c r="L318">
        <v>88888</v>
      </c>
      <c r="M318" s="2">
        <f t="shared" si="79"/>
        <v>317</v>
      </c>
      <c r="N318" s="3">
        <f t="shared" si="80"/>
        <v>43677</v>
      </c>
      <c r="O318" t="s">
        <v>304</v>
      </c>
      <c r="P318">
        <f t="shared" si="81"/>
        <v>1577</v>
      </c>
      <c r="Q318" s="6">
        <f t="shared" si="82"/>
        <v>1</v>
      </c>
      <c r="R318" s="5">
        <f t="shared" si="83"/>
        <v>0</v>
      </c>
      <c r="T318" s="5">
        <f t="shared" si="84"/>
        <v>31076.45</v>
      </c>
      <c r="U318">
        <f t="shared" si="85"/>
        <v>0</v>
      </c>
      <c r="V318">
        <f t="shared" si="86"/>
        <v>40</v>
      </c>
      <c r="W318" t="str">
        <f t="shared" si="87"/>
        <v xml:space="preserve">Aporte Solid.Television                 </v>
      </c>
      <c r="X318">
        <f t="shared" si="88"/>
        <v>23</v>
      </c>
      <c r="AB318" t="str">
        <f t="shared" si="89"/>
        <v>Aporte Solid.Television</v>
      </c>
    </row>
    <row r="319" spans="1:28" x14ac:dyDescent="0.25">
      <c r="A319">
        <v>21140170</v>
      </c>
      <c r="B319" t="s">
        <v>297</v>
      </c>
      <c r="C319">
        <v>1</v>
      </c>
      <c r="E319">
        <v>31076.45</v>
      </c>
      <c r="L319">
        <v>88888</v>
      </c>
      <c r="M319" s="2">
        <f t="shared" si="79"/>
        <v>318</v>
      </c>
      <c r="N319" s="3">
        <f t="shared" si="80"/>
        <v>43677</v>
      </c>
      <c r="O319" t="s">
        <v>305</v>
      </c>
      <c r="P319">
        <f t="shared" si="81"/>
        <v>1587</v>
      </c>
      <c r="Q319" s="6">
        <f t="shared" si="82"/>
        <v>1</v>
      </c>
      <c r="R319" s="5">
        <f t="shared" si="83"/>
        <v>0</v>
      </c>
      <c r="T319" s="5">
        <f t="shared" si="84"/>
        <v>5409.51</v>
      </c>
      <c r="U319">
        <f t="shared" si="85"/>
        <v>0</v>
      </c>
      <c r="V319">
        <f t="shared" si="86"/>
        <v>40</v>
      </c>
      <c r="W319" t="str">
        <f t="shared" si="87"/>
        <v xml:space="preserve">O.S.A.C.R.A.(O.Soc.Amas de Cas          </v>
      </c>
      <c r="X319">
        <f t="shared" si="88"/>
        <v>30</v>
      </c>
      <c r="AB319" t="str">
        <f t="shared" si="89"/>
        <v>O.S.A.C.R.A.(O.Soc.Amas de Cas</v>
      </c>
    </row>
    <row r="320" spans="1:28" x14ac:dyDescent="0.25">
      <c r="A320">
        <v>21140171</v>
      </c>
      <c r="B320" t="s">
        <v>298</v>
      </c>
      <c r="C320">
        <v>1</v>
      </c>
      <c r="E320">
        <v>5409.51</v>
      </c>
      <c r="L320">
        <v>88888</v>
      </c>
      <c r="M320" s="2">
        <f t="shared" si="79"/>
        <v>319</v>
      </c>
      <c r="N320" s="3">
        <f t="shared" si="80"/>
        <v>43677</v>
      </c>
      <c r="O320" t="s">
        <v>258</v>
      </c>
      <c r="P320">
        <f t="shared" si="81"/>
        <v>1594</v>
      </c>
      <c r="Q320" s="6">
        <f t="shared" si="82"/>
        <v>1</v>
      </c>
      <c r="R320" s="5">
        <f t="shared" si="83"/>
        <v>0</v>
      </c>
      <c r="T320" s="5">
        <f t="shared" si="84"/>
        <v>15578.54</v>
      </c>
      <c r="U320">
        <f t="shared" si="85"/>
        <v>0</v>
      </c>
      <c r="V320">
        <f t="shared" si="86"/>
        <v>40</v>
      </c>
      <c r="W320" t="str">
        <f t="shared" si="87"/>
        <v xml:space="preserve">Cuota Sindical TV 2%                    </v>
      </c>
      <c r="X320">
        <f t="shared" si="88"/>
        <v>20</v>
      </c>
      <c r="AB320" t="str">
        <f t="shared" si="89"/>
        <v>Cuota Sindical TV 2%</v>
      </c>
    </row>
    <row r="321" spans="1:28" x14ac:dyDescent="0.25">
      <c r="A321">
        <v>21140173</v>
      </c>
      <c r="B321" t="s">
        <v>189</v>
      </c>
      <c r="C321">
        <v>1</v>
      </c>
      <c r="E321">
        <v>15578.54</v>
      </c>
      <c r="L321">
        <v>88888</v>
      </c>
      <c r="M321" s="2">
        <f t="shared" si="79"/>
        <v>320</v>
      </c>
      <c r="N321" s="3">
        <f t="shared" si="80"/>
        <v>43677</v>
      </c>
      <c r="O321" t="s">
        <v>259</v>
      </c>
      <c r="P321">
        <f t="shared" si="81"/>
        <v>1595</v>
      </c>
      <c r="Q321" s="6">
        <f t="shared" si="82"/>
        <v>1</v>
      </c>
      <c r="R321" s="5">
        <f t="shared" si="83"/>
        <v>0</v>
      </c>
      <c r="T321" s="5">
        <f t="shared" si="84"/>
        <v>6073.95</v>
      </c>
      <c r="U321">
        <f t="shared" si="85"/>
        <v>0</v>
      </c>
      <c r="V321">
        <f t="shared" si="86"/>
        <v>40</v>
      </c>
      <c r="W321" t="str">
        <f t="shared" si="87"/>
        <v xml:space="preserve">Farmacia TV 3%                          </v>
      </c>
      <c r="X321">
        <f t="shared" si="88"/>
        <v>14</v>
      </c>
      <c r="AB321" t="str">
        <f t="shared" si="89"/>
        <v>Farmacia TV 3%</v>
      </c>
    </row>
    <row r="322" spans="1:28" x14ac:dyDescent="0.25">
      <c r="A322">
        <v>21140174</v>
      </c>
      <c r="B322" t="s">
        <v>190</v>
      </c>
      <c r="C322">
        <v>1</v>
      </c>
      <c r="E322">
        <v>6073.95</v>
      </c>
      <c r="L322">
        <v>88888</v>
      </c>
      <c r="M322" s="2">
        <f t="shared" si="79"/>
        <v>321</v>
      </c>
      <c r="N322" s="3">
        <f t="shared" si="80"/>
        <v>43677</v>
      </c>
      <c r="O322" t="s">
        <v>260</v>
      </c>
      <c r="P322">
        <f t="shared" si="81"/>
        <v>1741</v>
      </c>
      <c r="Q322" s="6">
        <f t="shared" si="82"/>
        <v>1</v>
      </c>
      <c r="R322" s="5">
        <f t="shared" si="83"/>
        <v>0</v>
      </c>
      <c r="T322" s="5">
        <f t="shared" si="84"/>
        <v>5192.8500000000004</v>
      </c>
      <c r="U322">
        <f t="shared" si="85"/>
        <v>0</v>
      </c>
      <c r="V322">
        <f t="shared" si="86"/>
        <v>40</v>
      </c>
      <c r="W322" t="str">
        <f t="shared" si="87"/>
        <v xml:space="preserve">CONT.SATSAID.Ac.2019                    </v>
      </c>
      <c r="X322">
        <f t="shared" si="88"/>
        <v>20</v>
      </c>
      <c r="AB322" t="str">
        <f t="shared" si="89"/>
        <v>CONT.SATSAID.Ac.2019</v>
      </c>
    </row>
    <row r="323" spans="1:28" x14ac:dyDescent="0.25">
      <c r="A323">
        <v>21140177</v>
      </c>
      <c r="B323" t="s">
        <v>149</v>
      </c>
      <c r="C323">
        <v>1</v>
      </c>
      <c r="E323">
        <v>5192.8500000000004</v>
      </c>
      <c r="L323">
        <v>88888</v>
      </c>
      <c r="M323" s="2">
        <f t="shared" si="79"/>
        <v>322</v>
      </c>
      <c r="N323" s="3">
        <f t="shared" si="80"/>
        <v>43677</v>
      </c>
      <c r="O323" t="s">
        <v>261</v>
      </c>
      <c r="P323">
        <f t="shared" si="81"/>
        <v>1752</v>
      </c>
      <c r="Q323" s="6">
        <f t="shared" si="82"/>
        <v>1</v>
      </c>
      <c r="R323" s="5">
        <f t="shared" si="83"/>
        <v>0</v>
      </c>
      <c r="T323" s="5">
        <f t="shared" si="84"/>
        <v>5506.92</v>
      </c>
      <c r="U323">
        <f t="shared" si="85"/>
        <v>0</v>
      </c>
      <c r="V323">
        <f t="shared" si="86"/>
        <v>40</v>
      </c>
      <c r="W323" t="str">
        <f t="shared" si="87"/>
        <v xml:space="preserve">OB.SOCIAL PERS.PRENSA R.A.              </v>
      </c>
      <c r="X323">
        <f t="shared" si="88"/>
        <v>26</v>
      </c>
      <c r="AB323" t="str">
        <f t="shared" si="89"/>
        <v>OB.SOCIAL PERS.PRENSA R.A.</v>
      </c>
    </row>
    <row r="324" spans="1:28" x14ac:dyDescent="0.25">
      <c r="A324">
        <v>21140178</v>
      </c>
      <c r="B324" t="s">
        <v>191</v>
      </c>
      <c r="C324">
        <v>1</v>
      </c>
      <c r="E324">
        <v>5506.92</v>
      </c>
      <c r="L324">
        <v>88888</v>
      </c>
      <c r="M324" s="2">
        <f t="shared" si="79"/>
        <v>323</v>
      </c>
      <c r="N324" s="3">
        <f t="shared" si="80"/>
        <v>43677</v>
      </c>
      <c r="O324" t="s">
        <v>262</v>
      </c>
      <c r="P324">
        <f t="shared" si="81"/>
        <v>1753</v>
      </c>
      <c r="Q324" s="6">
        <f t="shared" si="82"/>
        <v>1</v>
      </c>
      <c r="R324" s="5">
        <f t="shared" si="83"/>
        <v>0</v>
      </c>
      <c r="T324" s="5">
        <f t="shared" si="84"/>
        <v>3875.36</v>
      </c>
      <c r="U324">
        <f t="shared" si="85"/>
        <v>0</v>
      </c>
      <c r="V324">
        <f t="shared" si="86"/>
        <v>40</v>
      </c>
      <c r="W324" t="str">
        <f t="shared" si="87"/>
        <v xml:space="preserve">CUOTA SIND.FATREN                       </v>
      </c>
      <c r="X324">
        <f t="shared" si="88"/>
        <v>17</v>
      </c>
      <c r="AB324" t="str">
        <f t="shared" si="89"/>
        <v>CUOTA SIND.FATREN</v>
      </c>
    </row>
    <row r="325" spans="1:28" x14ac:dyDescent="0.25">
      <c r="A325">
        <v>21140179</v>
      </c>
      <c r="B325" t="s">
        <v>192</v>
      </c>
      <c r="C325">
        <v>1</v>
      </c>
      <c r="E325">
        <v>3875.36</v>
      </c>
      <c r="L325">
        <v>88888</v>
      </c>
      <c r="M325" s="2">
        <f t="shared" si="79"/>
        <v>324</v>
      </c>
      <c r="N325" s="3">
        <f t="shared" si="80"/>
        <v>43677</v>
      </c>
      <c r="O325" t="s">
        <v>263</v>
      </c>
      <c r="P325">
        <f t="shared" si="81"/>
        <v>1869</v>
      </c>
      <c r="Q325" s="6">
        <f t="shared" si="82"/>
        <v>1</v>
      </c>
      <c r="R325" s="5">
        <f t="shared" si="83"/>
        <v>0</v>
      </c>
      <c r="T325" s="5">
        <f t="shared" si="84"/>
        <v>18173.27</v>
      </c>
      <c r="U325">
        <f t="shared" si="85"/>
        <v>0</v>
      </c>
      <c r="V325">
        <f t="shared" si="86"/>
        <v>40</v>
      </c>
      <c r="W325" t="str">
        <f t="shared" si="87"/>
        <v xml:space="preserve">OBRA SOC.COND.CAMION.Y TRAN.CA          </v>
      </c>
      <c r="X325">
        <f t="shared" si="88"/>
        <v>30</v>
      </c>
      <c r="AB325" t="str">
        <f t="shared" si="89"/>
        <v>OBRA SOC.COND.CAMION.Y TRAN.CA</v>
      </c>
    </row>
    <row r="326" spans="1:28" x14ac:dyDescent="0.25">
      <c r="A326">
        <v>21140180</v>
      </c>
      <c r="B326" t="s">
        <v>193</v>
      </c>
      <c r="C326">
        <v>1</v>
      </c>
      <c r="E326">
        <v>18173.27</v>
      </c>
      <c r="L326">
        <v>88888</v>
      </c>
      <c r="M326" s="2">
        <f t="shared" si="79"/>
        <v>325</v>
      </c>
      <c r="N326" s="3">
        <f t="shared" si="80"/>
        <v>43677</v>
      </c>
      <c r="O326" t="s">
        <v>283</v>
      </c>
      <c r="P326">
        <f t="shared" si="81"/>
        <v>1888</v>
      </c>
      <c r="Q326" s="6">
        <f t="shared" si="82"/>
        <v>1</v>
      </c>
      <c r="R326" s="5">
        <f t="shared" si="83"/>
        <v>0</v>
      </c>
      <c r="T326" s="5">
        <f t="shared" si="84"/>
        <v>146607.85999999999</v>
      </c>
      <c r="U326">
        <f t="shared" si="85"/>
        <v>0</v>
      </c>
      <c r="V326">
        <f t="shared" si="86"/>
        <v>40</v>
      </c>
      <c r="W326" t="str">
        <f t="shared" si="87"/>
        <v xml:space="preserve"> SANCOR S/TOPE MAXIMO                   </v>
      </c>
      <c r="X326">
        <f t="shared" si="88"/>
        <v>21</v>
      </c>
      <c r="AB326" t="str">
        <f t="shared" si="89"/>
        <v xml:space="preserve"> SANCOR S/TOPE MAXIMO</v>
      </c>
    </row>
    <row r="327" spans="1:28" x14ac:dyDescent="0.25">
      <c r="A327">
        <v>21140181</v>
      </c>
      <c r="B327" t="s">
        <v>194</v>
      </c>
      <c r="C327">
        <v>1</v>
      </c>
      <c r="E327">
        <v>146607.85999999999</v>
      </c>
      <c r="L327">
        <v>88888</v>
      </c>
      <c r="M327" s="2">
        <f t="shared" si="79"/>
        <v>326</v>
      </c>
      <c r="N327" s="3">
        <f t="shared" si="80"/>
        <v>43677</v>
      </c>
      <c r="O327" t="s">
        <v>264</v>
      </c>
      <c r="P327">
        <f t="shared" si="81"/>
        <v>1898</v>
      </c>
      <c r="Q327" s="6">
        <f t="shared" si="82"/>
        <v>1</v>
      </c>
      <c r="R327" s="5">
        <f t="shared" si="83"/>
        <v>0</v>
      </c>
      <c r="T327" s="5">
        <f t="shared" si="84"/>
        <v>48242.92</v>
      </c>
      <c r="U327">
        <f t="shared" si="85"/>
        <v>0</v>
      </c>
      <c r="V327">
        <f t="shared" si="86"/>
        <v>40</v>
      </c>
      <c r="W327" t="str">
        <f t="shared" si="87"/>
        <v xml:space="preserve">OBRA SOC.OSPIN                          </v>
      </c>
      <c r="X327">
        <f t="shared" si="88"/>
        <v>14</v>
      </c>
      <c r="AB327" t="str">
        <f t="shared" si="89"/>
        <v>OBRA SOC.OSPIN</v>
      </c>
    </row>
    <row r="328" spans="1:28" x14ac:dyDescent="0.25">
      <c r="A328">
        <v>21140182</v>
      </c>
      <c r="B328" t="s">
        <v>195</v>
      </c>
      <c r="C328">
        <v>1</v>
      </c>
      <c r="E328">
        <v>48242.92</v>
      </c>
      <c r="L328">
        <v>88888</v>
      </c>
      <c r="M328" s="2">
        <f t="shared" si="79"/>
        <v>327</v>
      </c>
      <c r="N328" s="3">
        <f t="shared" si="80"/>
        <v>43677</v>
      </c>
      <c r="O328" t="s">
        <v>265</v>
      </c>
      <c r="P328">
        <f t="shared" si="81"/>
        <v>1986</v>
      </c>
      <c r="Q328" s="6">
        <f t="shared" si="82"/>
        <v>1</v>
      </c>
      <c r="R328" s="5">
        <f t="shared" si="83"/>
        <v>0</v>
      </c>
      <c r="T328" s="5">
        <f t="shared" si="84"/>
        <v>254063.71</v>
      </c>
      <c r="U328">
        <f t="shared" si="85"/>
        <v>0</v>
      </c>
      <c r="V328">
        <f t="shared" si="86"/>
        <v>40</v>
      </c>
      <c r="W328" t="str">
        <f t="shared" si="87"/>
        <v xml:space="preserve">CONTRIBUCION  Dcto 633/18               </v>
      </c>
      <c r="X328">
        <f t="shared" si="88"/>
        <v>25</v>
      </c>
      <c r="AB328" t="str">
        <f t="shared" si="89"/>
        <v>CONTRIBUCION  Dcto 633/18</v>
      </c>
    </row>
    <row r="329" spans="1:28" x14ac:dyDescent="0.25">
      <c r="A329">
        <v>21140183</v>
      </c>
      <c r="B329" t="s">
        <v>299</v>
      </c>
      <c r="C329">
        <v>1</v>
      </c>
      <c r="E329">
        <v>254063.71</v>
      </c>
      <c r="L329">
        <v>88888</v>
      </c>
      <c r="M329" s="2">
        <f t="shared" si="79"/>
        <v>328</v>
      </c>
      <c r="N329" s="3">
        <f t="shared" si="80"/>
        <v>43677</v>
      </c>
      <c r="O329" t="s">
        <v>286</v>
      </c>
      <c r="P329">
        <f t="shared" si="81"/>
        <v>2068</v>
      </c>
      <c r="Q329" s="6">
        <f t="shared" si="82"/>
        <v>1</v>
      </c>
      <c r="R329" s="5">
        <f t="shared" si="83"/>
        <v>0</v>
      </c>
      <c r="T329" s="5">
        <f t="shared" si="84"/>
        <v>14846.88</v>
      </c>
      <c r="U329">
        <f t="shared" si="85"/>
        <v>0</v>
      </c>
      <c r="V329">
        <f t="shared" si="86"/>
        <v>40</v>
      </c>
      <c r="W329" t="str">
        <f t="shared" si="87"/>
        <v xml:space="preserve">CONTRIB.SOLIDARIA LyF                   </v>
      </c>
      <c r="X329">
        <f t="shared" si="88"/>
        <v>21</v>
      </c>
      <c r="AB329" t="str">
        <f t="shared" si="89"/>
        <v>CONTRIB.SOLIDARIA LyF</v>
      </c>
    </row>
    <row r="330" spans="1:28" x14ac:dyDescent="0.25">
      <c r="A330">
        <v>21140186</v>
      </c>
      <c r="B330" t="s">
        <v>278</v>
      </c>
      <c r="C330">
        <v>1</v>
      </c>
      <c r="E330">
        <v>14846.88</v>
      </c>
      <c r="L330">
        <v>88888</v>
      </c>
      <c r="M330" s="2">
        <f t="shared" si="79"/>
        <v>329</v>
      </c>
      <c r="N330" s="3">
        <f t="shared" si="80"/>
        <v>43677</v>
      </c>
      <c r="O330" t="s">
        <v>306</v>
      </c>
      <c r="P330">
        <f t="shared" si="81"/>
        <v>2084</v>
      </c>
      <c r="Q330" s="6">
        <f t="shared" si="82"/>
        <v>1</v>
      </c>
      <c r="R330" s="5">
        <f t="shared" si="83"/>
        <v>0</v>
      </c>
      <c r="T330" s="5">
        <f t="shared" si="84"/>
        <v>2906.53</v>
      </c>
      <c r="U330">
        <f t="shared" si="85"/>
        <v>0</v>
      </c>
      <c r="V330">
        <f t="shared" si="86"/>
        <v>40</v>
      </c>
      <c r="W330" t="str">
        <f t="shared" si="87"/>
        <v xml:space="preserve">CONTRIB.SOLID.FATPREN                   </v>
      </c>
      <c r="X330">
        <f t="shared" si="88"/>
        <v>21</v>
      </c>
      <c r="AB330" t="str">
        <f t="shared" si="89"/>
        <v>CONTRIB.SOLID.FATPREN</v>
      </c>
    </row>
    <row r="331" spans="1:28" x14ac:dyDescent="0.25">
      <c r="A331">
        <v>21140187</v>
      </c>
      <c r="B331" t="s">
        <v>300</v>
      </c>
      <c r="C331">
        <v>1</v>
      </c>
      <c r="E331">
        <v>2906.53</v>
      </c>
      <c r="L331">
        <v>88888</v>
      </c>
      <c r="M331" s="2">
        <f t="shared" si="79"/>
        <v>330</v>
      </c>
      <c r="N331" s="3">
        <f t="shared" si="80"/>
        <v>43677</v>
      </c>
      <c r="O331" t="s">
        <v>306</v>
      </c>
      <c r="P331">
        <f t="shared" si="81"/>
        <v>2084</v>
      </c>
      <c r="Q331" s="6">
        <f t="shared" si="82"/>
        <v>1</v>
      </c>
      <c r="R331" s="5">
        <f t="shared" si="83"/>
        <v>0</v>
      </c>
      <c r="T331" s="5">
        <f t="shared" si="84"/>
        <v>19480.55</v>
      </c>
      <c r="U331">
        <f t="shared" si="85"/>
        <v>0</v>
      </c>
      <c r="V331">
        <f t="shared" si="86"/>
        <v>40</v>
      </c>
      <c r="W331" t="str">
        <f t="shared" si="87"/>
        <v xml:space="preserve">CONTRIB.SOLID.FATPREN                   </v>
      </c>
      <c r="X331">
        <f t="shared" si="88"/>
        <v>21</v>
      </c>
      <c r="AB331" t="str">
        <f t="shared" si="89"/>
        <v>CONTRIB.SOLID.FATPREN</v>
      </c>
    </row>
    <row r="332" spans="1:28" x14ac:dyDescent="0.25">
      <c r="A332">
        <v>21140188</v>
      </c>
      <c r="B332" t="s">
        <v>301</v>
      </c>
      <c r="C332">
        <v>1</v>
      </c>
      <c r="E332">
        <v>19480.55</v>
      </c>
      <c r="L332">
        <v>88888</v>
      </c>
      <c r="M332" s="2">
        <f t="shared" si="79"/>
        <v>331</v>
      </c>
      <c r="N332" s="3">
        <f t="shared" si="80"/>
        <v>43677</v>
      </c>
      <c r="O332" t="s">
        <v>307</v>
      </c>
      <c r="P332">
        <f t="shared" si="81"/>
        <v>2097</v>
      </c>
      <c r="Q332" s="6">
        <f t="shared" si="82"/>
        <v>1</v>
      </c>
      <c r="R332" s="5">
        <f t="shared" si="83"/>
        <v>0</v>
      </c>
      <c r="T332" s="5">
        <f t="shared" si="84"/>
        <v>37747.339999999997</v>
      </c>
      <c r="U332">
        <f t="shared" si="85"/>
        <v>0</v>
      </c>
      <c r="V332">
        <f t="shared" si="86"/>
        <v>40</v>
      </c>
      <c r="W332" t="str">
        <f t="shared" si="87"/>
        <v xml:space="preserve">CONTRIB.SOLIDARIA SIPOS                 </v>
      </c>
      <c r="X332">
        <f t="shared" si="88"/>
        <v>23</v>
      </c>
      <c r="AB332" t="str">
        <f t="shared" si="89"/>
        <v>CONTRIB.SOLIDARIA SIPOS</v>
      </c>
    </row>
    <row r="333" spans="1:28" x14ac:dyDescent="0.25">
      <c r="A333">
        <v>21140189</v>
      </c>
      <c r="B333" t="s">
        <v>291</v>
      </c>
      <c r="C333">
        <v>1</v>
      </c>
      <c r="E333">
        <v>37747.339999999997</v>
      </c>
      <c r="L333">
        <v>88888</v>
      </c>
      <c r="M333" s="2">
        <f t="shared" si="79"/>
        <v>332</v>
      </c>
      <c r="N333" s="3">
        <f t="shared" si="80"/>
        <v>43677</v>
      </c>
      <c r="O333" t="s">
        <v>266</v>
      </c>
      <c r="P333">
        <f t="shared" si="81"/>
        <v>173</v>
      </c>
      <c r="Q333" s="6">
        <f t="shared" si="82"/>
        <v>1</v>
      </c>
      <c r="R333" s="5">
        <f t="shared" si="83"/>
        <v>0</v>
      </c>
      <c r="T333" s="5">
        <f t="shared" si="84"/>
        <v>350849</v>
      </c>
      <c r="U333">
        <f t="shared" si="85"/>
        <v>0</v>
      </c>
      <c r="V333">
        <f t="shared" si="86"/>
        <v>40</v>
      </c>
      <c r="W333" t="str">
        <f t="shared" si="87"/>
        <v xml:space="preserve">RET.P/SERV.ELECT.AL PERSONAL            </v>
      </c>
      <c r="X333">
        <f t="shared" si="88"/>
        <v>28</v>
      </c>
      <c r="AB333" t="str">
        <f t="shared" si="89"/>
        <v>RET.P/SERV.ELECT.AL PERSONAL</v>
      </c>
    </row>
    <row r="334" spans="1:28" x14ac:dyDescent="0.25">
      <c r="A334">
        <v>211402</v>
      </c>
      <c r="B334" t="s">
        <v>196</v>
      </c>
      <c r="C334">
        <v>1</v>
      </c>
      <c r="E334">
        <v>350849</v>
      </c>
      <c r="L334">
        <v>88888</v>
      </c>
      <c r="M334" s="2">
        <f t="shared" si="79"/>
        <v>333</v>
      </c>
      <c r="N334" s="3">
        <f t="shared" si="80"/>
        <v>43677</v>
      </c>
      <c r="O334" t="s">
        <v>267</v>
      </c>
      <c r="P334">
        <f t="shared" si="81"/>
        <v>174</v>
      </c>
      <c r="Q334" s="6">
        <f t="shared" si="82"/>
        <v>1</v>
      </c>
      <c r="R334" s="5">
        <f t="shared" si="83"/>
        <v>0</v>
      </c>
      <c r="T334" s="5">
        <f t="shared" si="84"/>
        <v>114481</v>
      </c>
      <c r="U334">
        <f t="shared" si="85"/>
        <v>0</v>
      </c>
      <c r="V334">
        <f t="shared" si="86"/>
        <v>40</v>
      </c>
      <c r="W334" t="str">
        <f t="shared" si="87"/>
        <v xml:space="preserve">RET.SERV.DE TEL.E INT.AL PERSO          </v>
      </c>
      <c r="X334">
        <f t="shared" si="88"/>
        <v>30</v>
      </c>
      <c r="AB334" t="str">
        <f t="shared" si="89"/>
        <v>RET.SERV.DE TEL.E INT.AL PERSO</v>
      </c>
    </row>
    <row r="335" spans="1:28" x14ac:dyDescent="0.25">
      <c r="A335">
        <v>211403</v>
      </c>
      <c r="B335" t="s">
        <v>197</v>
      </c>
      <c r="C335">
        <v>1</v>
      </c>
      <c r="E335">
        <v>114481</v>
      </c>
      <c r="L335">
        <v>88888</v>
      </c>
      <c r="M335" s="2">
        <f t="shared" si="79"/>
        <v>334</v>
      </c>
      <c r="N335" s="3">
        <f t="shared" si="80"/>
        <v>43677</v>
      </c>
      <c r="O335" t="s">
        <v>268</v>
      </c>
      <c r="P335">
        <f t="shared" si="81"/>
        <v>187</v>
      </c>
      <c r="Q335" s="6">
        <f t="shared" si="82"/>
        <v>1</v>
      </c>
      <c r="R335" s="5">
        <f t="shared" si="83"/>
        <v>0</v>
      </c>
      <c r="T335" s="5">
        <f t="shared" si="84"/>
        <v>16526624</v>
      </c>
      <c r="U335">
        <f t="shared" si="85"/>
        <v>0</v>
      </c>
      <c r="V335">
        <f t="shared" si="86"/>
        <v>40</v>
      </c>
      <c r="W335" t="str">
        <f t="shared" si="87"/>
        <v xml:space="preserve">REMUNERACIONES A PAGAR                  </v>
      </c>
      <c r="X335">
        <f t="shared" si="88"/>
        <v>22</v>
      </c>
      <c r="AB335" t="str">
        <f t="shared" si="89"/>
        <v>REMUNERACIONES A PAGAR</v>
      </c>
    </row>
    <row r="336" spans="1:28" x14ac:dyDescent="0.25">
      <c r="A336">
        <v>211409</v>
      </c>
      <c r="B336" t="s">
        <v>198</v>
      </c>
      <c r="C336">
        <v>1</v>
      </c>
      <c r="E336">
        <v>16526624</v>
      </c>
      <c r="L336">
        <v>88888</v>
      </c>
      <c r="M336" s="2">
        <f t="shared" si="79"/>
        <v>335</v>
      </c>
      <c r="N336" s="3">
        <f t="shared" si="80"/>
        <v>43677</v>
      </c>
      <c r="O336" t="s">
        <v>269</v>
      </c>
      <c r="P336">
        <f t="shared" si="81"/>
        <v>356</v>
      </c>
      <c r="Q336" s="6">
        <f t="shared" si="82"/>
        <v>1</v>
      </c>
      <c r="R336" s="5">
        <f t="shared" si="83"/>
        <v>0</v>
      </c>
      <c r="T336" s="5">
        <f t="shared" si="84"/>
        <v>91010.54</v>
      </c>
      <c r="U336">
        <f t="shared" si="85"/>
        <v>0</v>
      </c>
      <c r="V336">
        <f t="shared" si="86"/>
        <v>40</v>
      </c>
      <c r="W336" t="str">
        <f t="shared" si="87"/>
        <v xml:space="preserve">SIST.DE RETIRO COMPLEMENTARIO           </v>
      </c>
      <c r="X336">
        <f t="shared" si="88"/>
        <v>29</v>
      </c>
      <c r="AB336" t="str">
        <f t="shared" si="89"/>
        <v>SIST.DE RETIRO COMPLEMENTARIO</v>
      </c>
    </row>
    <row r="337" spans="1:28" x14ac:dyDescent="0.25">
      <c r="A337">
        <v>211411</v>
      </c>
      <c r="B337" t="s">
        <v>199</v>
      </c>
      <c r="C337">
        <v>1</v>
      </c>
      <c r="E337">
        <v>91010.54</v>
      </c>
      <c r="L337">
        <v>88888</v>
      </c>
      <c r="M337" s="2">
        <f t="shared" si="79"/>
        <v>336</v>
      </c>
      <c r="N337" s="3">
        <f t="shared" si="80"/>
        <v>43677</v>
      </c>
      <c r="O337" t="s">
        <v>270</v>
      </c>
      <c r="P337">
        <f t="shared" si="81"/>
        <v>1696</v>
      </c>
      <c r="Q337" s="6">
        <f t="shared" si="82"/>
        <v>1</v>
      </c>
      <c r="R337" s="5">
        <f t="shared" si="83"/>
        <v>0</v>
      </c>
      <c r="T337" s="5">
        <f t="shared" si="84"/>
        <v>78580</v>
      </c>
      <c r="U337">
        <f t="shared" si="85"/>
        <v>0</v>
      </c>
      <c r="V337">
        <f t="shared" si="86"/>
        <v>40</v>
      </c>
      <c r="W337" t="str">
        <f t="shared" si="87"/>
        <v xml:space="preserve">Serv.Telev.al Personal                  </v>
      </c>
      <c r="X337">
        <f t="shared" si="88"/>
        <v>22</v>
      </c>
      <c r="AB337" t="str">
        <f t="shared" si="89"/>
        <v>Serv.Telev.al Personal</v>
      </c>
    </row>
    <row r="338" spans="1:28" x14ac:dyDescent="0.25">
      <c r="A338">
        <v>211414</v>
      </c>
      <c r="B338" t="s">
        <v>200</v>
      </c>
      <c r="C338">
        <v>1</v>
      </c>
      <c r="E338">
        <v>78580</v>
      </c>
      <c r="L338">
        <v>88888</v>
      </c>
      <c r="M338" s="2">
        <f t="shared" si="79"/>
        <v>337</v>
      </c>
      <c r="N338" s="3">
        <f t="shared" si="80"/>
        <v>43677</v>
      </c>
      <c r="O338" t="s">
        <v>271</v>
      </c>
      <c r="P338">
        <f t="shared" si="81"/>
        <v>193</v>
      </c>
      <c r="Q338" s="6">
        <f t="shared" si="82"/>
        <v>1</v>
      </c>
      <c r="R338" s="5">
        <f t="shared" si="83"/>
        <v>0</v>
      </c>
      <c r="T338" s="5">
        <f t="shared" si="84"/>
        <v>93757</v>
      </c>
      <c r="U338">
        <f t="shared" si="85"/>
        <v>0</v>
      </c>
      <c r="V338">
        <f t="shared" si="86"/>
        <v>40</v>
      </c>
      <c r="W338" t="str">
        <f t="shared" si="87"/>
        <v xml:space="preserve">PRESTAMOS LUZ Y FZA                     </v>
      </c>
      <c r="X338">
        <f t="shared" si="88"/>
        <v>19</v>
      </c>
      <c r="AB338" t="str">
        <f t="shared" si="89"/>
        <v>PRESTAMOS LUZ Y FZA</v>
      </c>
    </row>
    <row r="339" spans="1:28" x14ac:dyDescent="0.25">
      <c r="A339">
        <v>211507</v>
      </c>
      <c r="B339" t="s">
        <v>201</v>
      </c>
      <c r="C339">
        <v>1</v>
      </c>
      <c r="E339">
        <v>93757</v>
      </c>
      <c r="L339">
        <v>88888</v>
      </c>
      <c r="M339" s="2">
        <f t="shared" si="79"/>
        <v>338</v>
      </c>
      <c r="N339" s="3">
        <f t="shared" si="80"/>
        <v>43677</v>
      </c>
      <c r="O339" t="s">
        <v>272</v>
      </c>
      <c r="P339">
        <f t="shared" si="81"/>
        <v>1401</v>
      </c>
      <c r="Q339" s="6">
        <f t="shared" si="82"/>
        <v>1</v>
      </c>
      <c r="R339" s="5">
        <f t="shared" si="83"/>
        <v>0</v>
      </c>
      <c r="T339" s="5">
        <f t="shared" si="84"/>
        <v>23434.57</v>
      </c>
      <c r="U339">
        <f t="shared" si="85"/>
        <v>0</v>
      </c>
      <c r="V339">
        <f t="shared" si="86"/>
        <v>40</v>
      </c>
      <c r="W339" t="str">
        <f t="shared" si="87"/>
        <v xml:space="preserve">PRESTAMOS CEC                           </v>
      </c>
      <c r="X339">
        <f t="shared" si="88"/>
        <v>13</v>
      </c>
      <c r="AB339" t="str">
        <f t="shared" si="89"/>
        <v>PRESTAMOS CEC</v>
      </c>
    </row>
    <row r="340" spans="1:28" x14ac:dyDescent="0.25">
      <c r="A340">
        <v>211512</v>
      </c>
      <c r="B340" t="s">
        <v>202</v>
      </c>
      <c r="C340">
        <v>1</v>
      </c>
      <c r="E340">
        <v>23434.57</v>
      </c>
      <c r="L340">
        <v>88888</v>
      </c>
      <c r="M340" s="2">
        <f t="shared" si="79"/>
        <v>339</v>
      </c>
      <c r="N340" s="3">
        <f t="shared" si="80"/>
        <v>43677</v>
      </c>
      <c r="O340" t="s">
        <v>285</v>
      </c>
      <c r="P340">
        <f t="shared" si="81"/>
        <v>219</v>
      </c>
      <c r="Q340" s="6">
        <f t="shared" si="82"/>
        <v>1</v>
      </c>
      <c r="R340" s="5">
        <f t="shared" si="83"/>
        <v>0</v>
      </c>
      <c r="T340" s="5">
        <f t="shared" si="84"/>
        <v>330.07</v>
      </c>
      <c r="U340">
        <f t="shared" si="85"/>
        <v>0</v>
      </c>
      <c r="V340">
        <f t="shared" si="86"/>
        <v>40</v>
      </c>
      <c r="W340" t="str">
        <f t="shared" si="87"/>
        <v xml:space="preserve">FALLA CAJA NATALIA CARRACEDO            </v>
      </c>
      <c r="X340">
        <f t="shared" si="88"/>
        <v>28</v>
      </c>
      <c r="AB340" t="str">
        <f t="shared" si="89"/>
        <v>FALLA CAJA NATALIA CARRACEDO</v>
      </c>
    </row>
    <row r="341" spans="1:28" x14ac:dyDescent="0.25">
      <c r="A341">
        <v>11110305</v>
      </c>
      <c r="B341" t="s">
        <v>280</v>
      </c>
      <c r="C341">
        <v>1</v>
      </c>
      <c r="E341">
        <v>330.07</v>
      </c>
      <c r="L341">
        <v>88888</v>
      </c>
      <c r="M341" s="2">
        <f t="shared" si="79"/>
        <v>340</v>
      </c>
      <c r="N341" s="3">
        <f t="shared" si="80"/>
        <v>43677</v>
      </c>
      <c r="O341" t="s">
        <v>284</v>
      </c>
      <c r="P341">
        <f t="shared" si="81"/>
        <v>32</v>
      </c>
      <c r="Q341" s="6">
        <f t="shared" si="82"/>
        <v>1</v>
      </c>
      <c r="R341" s="5">
        <f t="shared" si="83"/>
        <v>0</v>
      </c>
      <c r="T341" s="5">
        <f t="shared" si="84"/>
        <v>502.38</v>
      </c>
      <c r="U341">
        <f t="shared" si="85"/>
        <v>0</v>
      </c>
      <c r="V341">
        <f t="shared" si="86"/>
        <v>40</v>
      </c>
      <c r="W341" t="str">
        <f t="shared" si="87"/>
        <v xml:space="preserve">FALLA CAJA VIZCARRA                     </v>
      </c>
      <c r="X341">
        <f t="shared" si="88"/>
        <v>19</v>
      </c>
      <c r="AB341" t="str">
        <f t="shared" si="89"/>
        <v>FALLA CAJA VIZCARRA</v>
      </c>
    </row>
    <row r="342" spans="1:28" x14ac:dyDescent="0.25">
      <c r="A342">
        <v>11110301</v>
      </c>
      <c r="B342" t="s">
        <v>279</v>
      </c>
      <c r="C342">
        <v>1</v>
      </c>
      <c r="E342">
        <v>502.38</v>
      </c>
      <c r="N342" s="3"/>
      <c r="P342"/>
      <c r="T342" s="5"/>
    </row>
    <row r="343" spans="1:28" x14ac:dyDescent="0.25">
      <c r="N343" s="3"/>
      <c r="P343"/>
      <c r="T343" s="5"/>
    </row>
    <row r="344" spans="1:28" x14ac:dyDescent="0.25">
      <c r="N344" s="3"/>
      <c r="P344"/>
      <c r="T344" s="5"/>
    </row>
    <row r="345" spans="1:28" x14ac:dyDescent="0.25">
      <c r="N345" s="3"/>
      <c r="P345"/>
      <c r="T345" s="5"/>
    </row>
    <row r="346" spans="1:28" x14ac:dyDescent="0.25">
      <c r="N346" s="3"/>
      <c r="P346"/>
      <c r="T346" s="5"/>
    </row>
    <row r="347" spans="1:28" x14ac:dyDescent="0.25">
      <c r="N347" s="3"/>
      <c r="P347"/>
      <c r="T347" s="5"/>
    </row>
    <row r="348" spans="1:28" x14ac:dyDescent="0.25">
      <c r="N348" s="3"/>
      <c r="P348"/>
      <c r="T348" s="5"/>
    </row>
    <row r="349" spans="1:28" x14ac:dyDescent="0.25">
      <c r="N349" s="3"/>
      <c r="P349"/>
      <c r="T349" s="5"/>
    </row>
    <row r="350" spans="1:28" x14ac:dyDescent="0.25">
      <c r="N350" s="3"/>
      <c r="P350"/>
      <c r="T350" s="5"/>
    </row>
    <row r="351" spans="1:28" x14ac:dyDescent="0.25">
      <c r="N351" s="3"/>
      <c r="P351"/>
      <c r="T351" s="5"/>
    </row>
    <row r="352" spans="1:28" x14ac:dyDescent="0.25">
      <c r="N352" s="3"/>
      <c r="P352"/>
      <c r="T352" s="5"/>
    </row>
    <row r="353" spans="14:20" x14ac:dyDescent="0.25">
      <c r="N353" s="3"/>
      <c r="P353"/>
      <c r="T353" s="5"/>
    </row>
    <row r="354" spans="14:20" x14ac:dyDescent="0.25">
      <c r="N354" s="3"/>
      <c r="P354"/>
      <c r="T354" s="5"/>
    </row>
    <row r="355" spans="14:20" x14ac:dyDescent="0.25">
      <c r="N355" s="3"/>
      <c r="P355"/>
      <c r="T355" s="5"/>
    </row>
    <row r="356" spans="14:20" x14ac:dyDescent="0.25">
      <c r="N356" s="3"/>
      <c r="P356"/>
      <c r="T356" s="5"/>
    </row>
    <row r="357" spans="14:20" x14ac:dyDescent="0.25">
      <c r="N357" s="3"/>
      <c r="P357"/>
      <c r="T357" s="5"/>
    </row>
    <row r="358" spans="14:20" x14ac:dyDescent="0.25">
      <c r="N358" s="3"/>
      <c r="P358"/>
      <c r="T358" s="5"/>
    </row>
    <row r="359" spans="14:20" x14ac:dyDescent="0.25">
      <c r="N359" s="3"/>
      <c r="P359"/>
      <c r="T359" s="5"/>
    </row>
    <row r="360" spans="14:20" x14ac:dyDescent="0.25">
      <c r="N360" s="3"/>
      <c r="P360"/>
      <c r="T360" s="5"/>
    </row>
    <row r="361" spans="14:20" x14ac:dyDescent="0.25">
      <c r="N361" s="3"/>
      <c r="P361"/>
      <c r="T361" s="5"/>
    </row>
    <row r="362" spans="14:20" x14ac:dyDescent="0.25">
      <c r="N362" s="3"/>
      <c r="P362"/>
      <c r="T362" s="5"/>
    </row>
  </sheetData>
  <phoneticPr fontId="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Macros de Excel 4.0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Hoja1</vt:lpstr>
      <vt:lpstr>Macro1</vt:lpstr>
      <vt:lpstr>DATOSASI</vt:lpstr>
      <vt:lpstr>DATOSASI1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personal</cp:lastModifiedBy>
  <dcterms:created xsi:type="dcterms:W3CDTF">2018-11-21T12:52:11Z</dcterms:created>
  <dcterms:modified xsi:type="dcterms:W3CDTF">2020-01-16T11:51:08Z</dcterms:modified>
</cp:coreProperties>
</file>