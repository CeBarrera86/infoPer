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15480" windowHeight="11640" activeTab="1"/>
  </bookViews>
  <sheets>
    <sheet name="Macro1" sheetId="2" r:id="rId1"/>
    <sheet name="Hoja1" sheetId="1" r:id="rId2"/>
  </sheets>
  <definedNames>
    <definedName name="DATOSASI">Hoja1!$L$2:$T$250</definedName>
    <definedName name="DATOSASI1">Hoja1!$L$2:$T$350</definedName>
  </definedNames>
  <calcPr calcId="145621"/>
</workbook>
</file>

<file path=xl/calcChain.xml><?xml version="1.0" encoding="utf-8"?>
<calcChain xmlns="http://schemas.openxmlformats.org/spreadsheetml/2006/main">
  <c r="M87" i="1" l="1"/>
  <c r="N87" i="1"/>
  <c r="P87" i="1"/>
  <c r="Q87" i="1"/>
  <c r="R87" i="1"/>
  <c r="T87" i="1"/>
  <c r="U87" i="1"/>
  <c r="V87" i="1"/>
  <c r="Y87" i="1"/>
  <c r="AB87" i="1"/>
  <c r="X87" i="1" s="1"/>
  <c r="W87" i="1" s="1"/>
  <c r="M88" i="1"/>
  <c r="N88" i="1"/>
  <c r="P88" i="1"/>
  <c r="Q88" i="1"/>
  <c r="R88" i="1"/>
  <c r="T88" i="1"/>
  <c r="U88" i="1"/>
  <c r="V88" i="1"/>
  <c r="Y88" i="1"/>
  <c r="AB88" i="1"/>
  <c r="X88" i="1" s="1"/>
  <c r="W88" i="1" s="1"/>
  <c r="M89" i="1"/>
  <c r="N89" i="1"/>
  <c r="P89" i="1"/>
  <c r="Q89" i="1"/>
  <c r="R89" i="1"/>
  <c r="T89" i="1"/>
  <c r="U89" i="1"/>
  <c r="V89" i="1"/>
  <c r="Y89" i="1"/>
  <c r="AB89" i="1"/>
  <c r="X89" i="1" s="1"/>
  <c r="W89" i="1" s="1"/>
  <c r="M90" i="1"/>
  <c r="N90" i="1"/>
  <c r="P90" i="1"/>
  <c r="Q90" i="1"/>
  <c r="R90" i="1"/>
  <c r="T90" i="1"/>
  <c r="U90" i="1"/>
  <c r="V90" i="1"/>
  <c r="Y90" i="1"/>
  <c r="AB90" i="1"/>
  <c r="X90" i="1" s="1"/>
  <c r="W90" i="1" s="1"/>
  <c r="M91" i="1"/>
  <c r="N91" i="1"/>
  <c r="P91" i="1"/>
  <c r="Q91" i="1"/>
  <c r="R91" i="1"/>
  <c r="T91" i="1"/>
  <c r="U91" i="1"/>
  <c r="V91" i="1"/>
  <c r="Y91" i="1"/>
  <c r="AB91" i="1"/>
  <c r="X91" i="1" s="1"/>
  <c r="W91" i="1" s="1"/>
  <c r="M92" i="1"/>
  <c r="N92" i="1"/>
  <c r="P92" i="1"/>
  <c r="Q92" i="1"/>
  <c r="R92" i="1"/>
  <c r="T92" i="1"/>
  <c r="U92" i="1"/>
  <c r="V92" i="1"/>
  <c r="Y92" i="1"/>
  <c r="AB92" i="1"/>
  <c r="X92" i="1" s="1"/>
  <c r="W92" i="1" s="1"/>
  <c r="M93" i="1"/>
  <c r="N93" i="1"/>
  <c r="P93" i="1"/>
  <c r="Q93" i="1"/>
  <c r="R93" i="1"/>
  <c r="T93" i="1"/>
  <c r="U93" i="1"/>
  <c r="V93" i="1"/>
  <c r="Y93" i="1"/>
  <c r="AB93" i="1"/>
  <c r="X93" i="1" s="1"/>
  <c r="W93" i="1" s="1"/>
  <c r="M94" i="1"/>
  <c r="N94" i="1"/>
  <c r="P94" i="1"/>
  <c r="Q94" i="1"/>
  <c r="R94" i="1"/>
  <c r="T94" i="1"/>
  <c r="U94" i="1"/>
  <c r="V94" i="1"/>
  <c r="Y94" i="1"/>
  <c r="AB94" i="1"/>
  <c r="X94" i="1" s="1"/>
  <c r="W94" i="1" s="1"/>
  <c r="M95" i="1"/>
  <c r="N95" i="1"/>
  <c r="P95" i="1"/>
  <c r="Q95" i="1"/>
  <c r="R95" i="1"/>
  <c r="T95" i="1"/>
  <c r="U95" i="1"/>
  <c r="V95" i="1"/>
  <c r="Y95" i="1"/>
  <c r="AB95" i="1"/>
  <c r="X95" i="1" s="1"/>
  <c r="W95" i="1" s="1"/>
  <c r="M96" i="1"/>
  <c r="N96" i="1"/>
  <c r="P96" i="1"/>
  <c r="Q96" i="1"/>
  <c r="R96" i="1"/>
  <c r="T96" i="1"/>
  <c r="U96" i="1"/>
  <c r="V96" i="1"/>
  <c r="Y96" i="1"/>
  <c r="AB96" i="1"/>
  <c r="X96" i="1" s="1"/>
  <c r="W96" i="1" s="1"/>
  <c r="M97" i="1"/>
  <c r="N97" i="1"/>
  <c r="P97" i="1"/>
  <c r="Q97" i="1"/>
  <c r="R97" i="1"/>
  <c r="T97" i="1"/>
  <c r="U97" i="1"/>
  <c r="Y97" i="1" s="1"/>
  <c r="V97" i="1"/>
  <c r="AB97" i="1"/>
  <c r="X97" i="1" s="1"/>
  <c r="W97" i="1" s="1"/>
  <c r="M98" i="1"/>
  <c r="N98" i="1"/>
  <c r="P98" i="1"/>
  <c r="Q98" i="1"/>
  <c r="R98" i="1"/>
  <c r="T98" i="1"/>
  <c r="U98" i="1"/>
  <c r="V98" i="1"/>
  <c r="Y98" i="1"/>
  <c r="AB98" i="1"/>
  <c r="X98" i="1" s="1"/>
  <c r="W98" i="1" s="1"/>
  <c r="M99" i="1"/>
  <c r="N99" i="1"/>
  <c r="P99" i="1"/>
  <c r="Q99" i="1"/>
  <c r="R99" i="1"/>
  <c r="T99" i="1"/>
  <c r="U99" i="1"/>
  <c r="V99" i="1"/>
  <c r="Y99" i="1"/>
  <c r="AB99" i="1"/>
  <c r="X99" i="1" s="1"/>
  <c r="W99" i="1" s="1"/>
  <c r="M100" i="1"/>
  <c r="N100" i="1"/>
  <c r="P100" i="1"/>
  <c r="Q100" i="1"/>
  <c r="R100" i="1"/>
  <c r="T100" i="1"/>
  <c r="U100" i="1"/>
  <c r="V100" i="1"/>
  <c r="Y100" i="1"/>
  <c r="AB100" i="1"/>
  <c r="X100" i="1" s="1"/>
  <c r="W100" i="1" s="1"/>
  <c r="M101" i="1"/>
  <c r="N101" i="1"/>
  <c r="P101" i="1"/>
  <c r="Q101" i="1"/>
  <c r="R101" i="1"/>
  <c r="T101" i="1"/>
  <c r="U101" i="1"/>
  <c r="V101" i="1"/>
  <c r="Y101" i="1"/>
  <c r="AB101" i="1"/>
  <c r="X101" i="1" s="1"/>
  <c r="W101" i="1" s="1"/>
  <c r="M102" i="1"/>
  <c r="N102" i="1"/>
  <c r="P102" i="1"/>
  <c r="Q102" i="1"/>
  <c r="R102" i="1"/>
  <c r="T102" i="1"/>
  <c r="U102" i="1"/>
  <c r="V102" i="1"/>
  <c r="Y102" i="1"/>
  <c r="AB102" i="1"/>
  <c r="X102" i="1" s="1"/>
  <c r="W102" i="1" s="1"/>
  <c r="M103" i="1"/>
  <c r="N103" i="1"/>
  <c r="P103" i="1"/>
  <c r="Q103" i="1"/>
  <c r="R103" i="1"/>
  <c r="T103" i="1"/>
  <c r="U103" i="1"/>
  <c r="Y103" i="1" s="1"/>
  <c r="V103" i="1"/>
  <c r="AB103" i="1"/>
  <c r="X103" i="1" s="1"/>
  <c r="W103" i="1" s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M3" i="1"/>
  <c r="M4" i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N63" i="1"/>
  <c r="P63" i="1"/>
  <c r="Q63" i="1"/>
  <c r="R63" i="1"/>
  <c r="T63" i="1"/>
  <c r="U63" i="1"/>
  <c r="Y63" i="1"/>
  <c r="V63" i="1"/>
  <c r="X63" i="1"/>
  <c r="W63" i="1" s="1"/>
  <c r="N64" i="1"/>
  <c r="P64" i="1"/>
  <c r="Q64" i="1"/>
  <c r="R64" i="1"/>
  <c r="T64" i="1"/>
  <c r="U64" i="1"/>
  <c r="V64" i="1"/>
  <c r="X64" i="1"/>
  <c r="W64" i="1" s="1"/>
  <c r="Y64" i="1"/>
  <c r="N65" i="1"/>
  <c r="P65" i="1"/>
  <c r="Q65" i="1"/>
  <c r="R65" i="1"/>
  <c r="T65" i="1"/>
  <c r="U65" i="1"/>
  <c r="Y65" i="1"/>
  <c r="V65" i="1"/>
  <c r="X65" i="1"/>
  <c r="W65" i="1" s="1"/>
  <c r="N66" i="1"/>
  <c r="P66" i="1"/>
  <c r="Q66" i="1"/>
  <c r="R66" i="1"/>
  <c r="T66" i="1"/>
  <c r="U66" i="1"/>
  <c r="V66" i="1"/>
  <c r="X66" i="1"/>
  <c r="W66" i="1" s="1"/>
  <c r="Y66" i="1"/>
  <c r="N67" i="1"/>
  <c r="P67" i="1"/>
  <c r="Q67" i="1"/>
  <c r="R67" i="1"/>
  <c r="T67" i="1"/>
  <c r="U67" i="1"/>
  <c r="Y67" i="1"/>
  <c r="V67" i="1"/>
  <c r="X67" i="1"/>
  <c r="W67" i="1" s="1"/>
  <c r="N68" i="1"/>
  <c r="P68" i="1"/>
  <c r="Q68" i="1"/>
  <c r="R68" i="1"/>
  <c r="T68" i="1"/>
  <c r="U68" i="1"/>
  <c r="V68" i="1"/>
  <c r="X68" i="1"/>
  <c r="W68" i="1" s="1"/>
  <c r="Y68" i="1"/>
  <c r="N69" i="1"/>
  <c r="P69" i="1"/>
  <c r="Q69" i="1"/>
  <c r="R69" i="1"/>
  <c r="T69" i="1"/>
  <c r="U69" i="1"/>
  <c r="Y69" i="1"/>
  <c r="V69" i="1"/>
  <c r="X69" i="1"/>
  <c r="W69" i="1" s="1"/>
  <c r="N70" i="1"/>
  <c r="P70" i="1"/>
  <c r="Q70" i="1"/>
  <c r="R70" i="1"/>
  <c r="T70" i="1"/>
  <c r="U70" i="1"/>
  <c r="V70" i="1"/>
  <c r="X70" i="1"/>
  <c r="W70" i="1" s="1"/>
  <c r="Y70" i="1"/>
  <c r="N71" i="1"/>
  <c r="P71" i="1"/>
  <c r="Q71" i="1"/>
  <c r="R71" i="1"/>
  <c r="T71" i="1"/>
  <c r="U71" i="1"/>
  <c r="Y71" i="1"/>
  <c r="V71" i="1"/>
  <c r="X71" i="1"/>
  <c r="W71" i="1" s="1"/>
  <c r="N72" i="1"/>
  <c r="P72" i="1"/>
  <c r="Q72" i="1"/>
  <c r="R72" i="1"/>
  <c r="T72" i="1"/>
  <c r="U72" i="1"/>
  <c r="V72" i="1"/>
  <c r="X72" i="1"/>
  <c r="W72" i="1" s="1"/>
  <c r="Y72" i="1"/>
  <c r="N73" i="1"/>
  <c r="P73" i="1"/>
  <c r="Q73" i="1"/>
  <c r="R73" i="1"/>
  <c r="T73" i="1"/>
  <c r="U73" i="1"/>
  <c r="Y73" i="1"/>
  <c r="V73" i="1"/>
  <c r="X73" i="1"/>
  <c r="W73" i="1" s="1"/>
  <c r="N74" i="1"/>
  <c r="P74" i="1"/>
  <c r="Q74" i="1"/>
  <c r="R74" i="1"/>
  <c r="T74" i="1"/>
  <c r="U74" i="1"/>
  <c r="V74" i="1"/>
  <c r="X74" i="1"/>
  <c r="W74" i="1" s="1"/>
  <c r="Y74" i="1"/>
  <c r="N75" i="1"/>
  <c r="P75" i="1"/>
  <c r="Q75" i="1"/>
  <c r="R75" i="1"/>
  <c r="T75" i="1"/>
  <c r="U75" i="1"/>
  <c r="Y75" i="1"/>
  <c r="V75" i="1"/>
  <c r="X75" i="1"/>
  <c r="W75" i="1" s="1"/>
  <c r="N76" i="1"/>
  <c r="P76" i="1"/>
  <c r="Q76" i="1"/>
  <c r="R76" i="1"/>
  <c r="T76" i="1"/>
  <c r="U76" i="1"/>
  <c r="V76" i="1"/>
  <c r="X76" i="1"/>
  <c r="W76" i="1" s="1"/>
  <c r="Y76" i="1"/>
  <c r="N77" i="1"/>
  <c r="P77" i="1"/>
  <c r="Q77" i="1"/>
  <c r="R77" i="1"/>
  <c r="T77" i="1"/>
  <c r="U77" i="1"/>
  <c r="Y77" i="1"/>
  <c r="V77" i="1"/>
  <c r="X77" i="1"/>
  <c r="W77" i="1" s="1"/>
  <c r="N78" i="1"/>
  <c r="P78" i="1"/>
  <c r="Q78" i="1"/>
  <c r="R78" i="1"/>
  <c r="T78" i="1"/>
  <c r="U78" i="1"/>
  <c r="V78" i="1"/>
  <c r="X78" i="1"/>
  <c r="W78" i="1"/>
  <c r="Y78" i="1"/>
  <c r="N79" i="1"/>
  <c r="P79" i="1"/>
  <c r="Q79" i="1"/>
  <c r="R79" i="1"/>
  <c r="T79" i="1"/>
  <c r="U79" i="1"/>
  <c r="Y79" i="1"/>
  <c r="V79" i="1"/>
  <c r="X79" i="1"/>
  <c r="W79" i="1" s="1"/>
  <c r="N80" i="1"/>
  <c r="P80" i="1"/>
  <c r="Q80" i="1"/>
  <c r="R80" i="1"/>
  <c r="T80" i="1"/>
  <c r="U80" i="1"/>
  <c r="Y80" i="1"/>
  <c r="V80" i="1"/>
  <c r="X80" i="1"/>
  <c r="W80" i="1" s="1"/>
  <c r="N81" i="1"/>
  <c r="P81" i="1"/>
  <c r="Q81" i="1"/>
  <c r="R81" i="1"/>
  <c r="T81" i="1"/>
  <c r="U81" i="1"/>
  <c r="Y81" i="1"/>
  <c r="V81" i="1"/>
  <c r="X81" i="1"/>
  <c r="W81" i="1" s="1"/>
  <c r="N82" i="1"/>
  <c r="P82" i="1"/>
  <c r="Q82" i="1"/>
  <c r="R82" i="1"/>
  <c r="T82" i="1"/>
  <c r="U82" i="1"/>
  <c r="Y82" i="1"/>
  <c r="V82" i="1"/>
  <c r="X82" i="1"/>
  <c r="W82" i="1" s="1"/>
  <c r="N83" i="1"/>
  <c r="P83" i="1"/>
  <c r="Q83" i="1"/>
  <c r="R83" i="1"/>
  <c r="T83" i="1"/>
  <c r="U83" i="1"/>
  <c r="Y83" i="1"/>
  <c r="V83" i="1"/>
  <c r="X83" i="1"/>
  <c r="W83" i="1" s="1"/>
  <c r="N84" i="1"/>
  <c r="P84" i="1"/>
  <c r="Q84" i="1"/>
  <c r="R84" i="1"/>
  <c r="T84" i="1"/>
  <c r="U84" i="1"/>
  <c r="Y84" i="1"/>
  <c r="V84" i="1"/>
  <c r="X84" i="1"/>
  <c r="W84" i="1" s="1"/>
  <c r="N85" i="1"/>
  <c r="P85" i="1"/>
  <c r="Q85" i="1"/>
  <c r="R85" i="1"/>
  <c r="T85" i="1"/>
  <c r="U85" i="1"/>
  <c r="Y85" i="1"/>
  <c r="V85" i="1"/>
  <c r="X85" i="1"/>
  <c r="W85" i="1" s="1"/>
  <c r="N86" i="1"/>
  <c r="P86" i="1"/>
  <c r="Q86" i="1"/>
  <c r="R86" i="1"/>
  <c r="T86" i="1"/>
  <c r="U86" i="1"/>
  <c r="Y86" i="1"/>
  <c r="V86" i="1"/>
  <c r="X86" i="1"/>
  <c r="W86" i="1" s="1"/>
  <c r="N21" i="1"/>
  <c r="P21" i="1"/>
  <c r="Q21" i="1"/>
  <c r="R21" i="1"/>
  <c r="T21" i="1"/>
  <c r="U21" i="1"/>
  <c r="Y21" i="1"/>
  <c r="V21" i="1"/>
  <c r="X21" i="1"/>
  <c r="W21" i="1" s="1"/>
  <c r="N22" i="1"/>
  <c r="P22" i="1"/>
  <c r="Q22" i="1"/>
  <c r="R22" i="1"/>
  <c r="T22" i="1"/>
  <c r="U22" i="1"/>
  <c r="Y22" i="1"/>
  <c r="V22" i="1"/>
  <c r="X22" i="1"/>
  <c r="W22" i="1" s="1"/>
  <c r="N23" i="1"/>
  <c r="P23" i="1"/>
  <c r="Q23" i="1"/>
  <c r="R23" i="1"/>
  <c r="T23" i="1"/>
  <c r="U23" i="1"/>
  <c r="Y23" i="1"/>
  <c r="V23" i="1"/>
  <c r="X23" i="1"/>
  <c r="W23" i="1" s="1"/>
  <c r="N24" i="1"/>
  <c r="P24" i="1"/>
  <c r="Q24" i="1"/>
  <c r="R24" i="1"/>
  <c r="T24" i="1"/>
  <c r="U24" i="1"/>
  <c r="Y24" i="1"/>
  <c r="V24" i="1"/>
  <c r="X24" i="1"/>
  <c r="W24" i="1" s="1"/>
  <c r="N25" i="1"/>
  <c r="P25" i="1"/>
  <c r="Q25" i="1"/>
  <c r="R25" i="1"/>
  <c r="T25" i="1"/>
  <c r="U25" i="1"/>
  <c r="Y25" i="1"/>
  <c r="V25" i="1"/>
  <c r="X25" i="1"/>
  <c r="W25" i="1" s="1"/>
  <c r="N26" i="1"/>
  <c r="P26" i="1"/>
  <c r="Q26" i="1"/>
  <c r="R26" i="1"/>
  <c r="T26" i="1"/>
  <c r="U26" i="1"/>
  <c r="Y26" i="1"/>
  <c r="V26" i="1"/>
  <c r="X26" i="1"/>
  <c r="W26" i="1" s="1"/>
  <c r="N27" i="1"/>
  <c r="P27" i="1"/>
  <c r="Q27" i="1"/>
  <c r="R27" i="1"/>
  <c r="T27" i="1"/>
  <c r="U27" i="1"/>
  <c r="Y27" i="1"/>
  <c r="V27" i="1"/>
  <c r="X27" i="1"/>
  <c r="W27" i="1" s="1"/>
  <c r="N28" i="1"/>
  <c r="P28" i="1"/>
  <c r="Q28" i="1"/>
  <c r="R28" i="1"/>
  <c r="T28" i="1"/>
  <c r="U28" i="1"/>
  <c r="Y28" i="1"/>
  <c r="V28" i="1"/>
  <c r="X28" i="1"/>
  <c r="W28" i="1" s="1"/>
  <c r="N29" i="1"/>
  <c r="P29" i="1"/>
  <c r="Q29" i="1"/>
  <c r="R29" i="1"/>
  <c r="T29" i="1"/>
  <c r="U29" i="1"/>
  <c r="Y29" i="1"/>
  <c r="V29" i="1"/>
  <c r="X29" i="1"/>
  <c r="W29" i="1" s="1"/>
  <c r="N30" i="1"/>
  <c r="P30" i="1"/>
  <c r="Q30" i="1"/>
  <c r="R30" i="1"/>
  <c r="T30" i="1"/>
  <c r="U30" i="1"/>
  <c r="V30" i="1"/>
  <c r="X30" i="1"/>
  <c r="W30" i="1" s="1"/>
  <c r="Y30" i="1"/>
  <c r="N31" i="1"/>
  <c r="P31" i="1"/>
  <c r="Q31" i="1"/>
  <c r="R31" i="1"/>
  <c r="T31" i="1"/>
  <c r="U31" i="1"/>
  <c r="Y31" i="1"/>
  <c r="V31" i="1"/>
  <c r="X31" i="1"/>
  <c r="W31" i="1" s="1"/>
  <c r="N32" i="1"/>
  <c r="P32" i="1"/>
  <c r="Q32" i="1"/>
  <c r="R32" i="1"/>
  <c r="T32" i="1"/>
  <c r="U32" i="1"/>
  <c r="V32" i="1"/>
  <c r="X32" i="1"/>
  <c r="W32" i="1" s="1"/>
  <c r="Y32" i="1"/>
  <c r="N33" i="1"/>
  <c r="P33" i="1"/>
  <c r="Q33" i="1"/>
  <c r="R33" i="1"/>
  <c r="T33" i="1"/>
  <c r="U33" i="1"/>
  <c r="Y33" i="1"/>
  <c r="V33" i="1"/>
  <c r="X33" i="1"/>
  <c r="W33" i="1" s="1"/>
  <c r="N34" i="1"/>
  <c r="P34" i="1"/>
  <c r="Q34" i="1"/>
  <c r="R34" i="1"/>
  <c r="T34" i="1"/>
  <c r="U34" i="1"/>
  <c r="Y34" i="1"/>
  <c r="V34" i="1"/>
  <c r="X34" i="1"/>
  <c r="W34" i="1" s="1"/>
  <c r="N35" i="1"/>
  <c r="P35" i="1"/>
  <c r="Q35" i="1"/>
  <c r="R35" i="1"/>
  <c r="T35" i="1"/>
  <c r="U35" i="1"/>
  <c r="Y35" i="1"/>
  <c r="V35" i="1"/>
  <c r="X35" i="1"/>
  <c r="W35" i="1" s="1"/>
  <c r="N36" i="1"/>
  <c r="P36" i="1"/>
  <c r="Q36" i="1"/>
  <c r="R36" i="1"/>
  <c r="T36" i="1"/>
  <c r="U36" i="1"/>
  <c r="Y36" i="1"/>
  <c r="V36" i="1"/>
  <c r="X36" i="1"/>
  <c r="W36" i="1" s="1"/>
  <c r="N37" i="1"/>
  <c r="P37" i="1"/>
  <c r="Q37" i="1"/>
  <c r="R37" i="1"/>
  <c r="T37" i="1"/>
  <c r="U37" i="1"/>
  <c r="Y37" i="1"/>
  <c r="V37" i="1"/>
  <c r="X37" i="1"/>
  <c r="W37" i="1" s="1"/>
  <c r="N38" i="1"/>
  <c r="P38" i="1"/>
  <c r="Q38" i="1"/>
  <c r="R38" i="1"/>
  <c r="T38" i="1"/>
  <c r="U38" i="1"/>
  <c r="Y38" i="1"/>
  <c r="V38" i="1"/>
  <c r="X38" i="1"/>
  <c r="W38" i="1" s="1"/>
  <c r="N39" i="1"/>
  <c r="P39" i="1"/>
  <c r="Q39" i="1"/>
  <c r="R39" i="1"/>
  <c r="T39" i="1"/>
  <c r="U39" i="1"/>
  <c r="Y39" i="1"/>
  <c r="V39" i="1"/>
  <c r="X39" i="1"/>
  <c r="W39" i="1" s="1"/>
  <c r="N40" i="1"/>
  <c r="P40" i="1"/>
  <c r="Q40" i="1"/>
  <c r="R40" i="1"/>
  <c r="T40" i="1"/>
  <c r="U40" i="1"/>
  <c r="V40" i="1"/>
  <c r="X40" i="1"/>
  <c r="W40" i="1" s="1"/>
  <c r="Y40" i="1"/>
  <c r="N41" i="1"/>
  <c r="P41" i="1"/>
  <c r="Q41" i="1"/>
  <c r="R41" i="1"/>
  <c r="T41" i="1"/>
  <c r="U41" i="1"/>
  <c r="Y41" i="1"/>
  <c r="V41" i="1"/>
  <c r="X41" i="1"/>
  <c r="N42" i="1"/>
  <c r="P42" i="1"/>
  <c r="Q42" i="1"/>
  <c r="R42" i="1"/>
  <c r="T42" i="1"/>
  <c r="U42" i="1"/>
  <c r="Y42" i="1" s="1"/>
  <c r="V42" i="1"/>
  <c r="X42" i="1"/>
  <c r="W42" i="1" s="1"/>
  <c r="N43" i="1"/>
  <c r="P43" i="1"/>
  <c r="Q43" i="1"/>
  <c r="R43" i="1"/>
  <c r="T43" i="1"/>
  <c r="U43" i="1"/>
  <c r="Y43" i="1" s="1"/>
  <c r="V43" i="1"/>
  <c r="X43" i="1"/>
  <c r="W43" i="1" s="1"/>
  <c r="N44" i="1"/>
  <c r="P44" i="1"/>
  <c r="Q44" i="1"/>
  <c r="R44" i="1"/>
  <c r="T44" i="1"/>
  <c r="U44" i="1"/>
  <c r="Y44" i="1" s="1"/>
  <c r="V44" i="1"/>
  <c r="X44" i="1"/>
  <c r="W44" i="1" s="1"/>
  <c r="N45" i="1"/>
  <c r="P45" i="1"/>
  <c r="Q45" i="1"/>
  <c r="R45" i="1"/>
  <c r="T45" i="1"/>
  <c r="U45" i="1"/>
  <c r="Y45" i="1" s="1"/>
  <c r="V45" i="1"/>
  <c r="X45" i="1"/>
  <c r="W45" i="1"/>
  <c r="N46" i="1"/>
  <c r="P46" i="1"/>
  <c r="Q46" i="1"/>
  <c r="R46" i="1"/>
  <c r="T46" i="1"/>
  <c r="U46" i="1"/>
  <c r="V46" i="1"/>
  <c r="X46" i="1"/>
  <c r="W46" i="1" s="1"/>
  <c r="Y46" i="1"/>
  <c r="N47" i="1"/>
  <c r="P47" i="1"/>
  <c r="Q47" i="1"/>
  <c r="R47" i="1"/>
  <c r="T47" i="1"/>
  <c r="U47" i="1"/>
  <c r="Y47" i="1" s="1"/>
  <c r="V47" i="1"/>
  <c r="X47" i="1"/>
  <c r="W47" i="1"/>
  <c r="N48" i="1"/>
  <c r="P48" i="1"/>
  <c r="Q48" i="1"/>
  <c r="R48" i="1"/>
  <c r="T48" i="1"/>
  <c r="U48" i="1"/>
  <c r="V48" i="1"/>
  <c r="X48" i="1"/>
  <c r="W48" i="1" s="1"/>
  <c r="Y48" i="1"/>
  <c r="N49" i="1"/>
  <c r="P49" i="1"/>
  <c r="Q49" i="1"/>
  <c r="R49" i="1"/>
  <c r="T49" i="1"/>
  <c r="U49" i="1"/>
  <c r="Y49" i="1" s="1"/>
  <c r="V49" i="1"/>
  <c r="X49" i="1"/>
  <c r="W49" i="1"/>
  <c r="N50" i="1"/>
  <c r="P50" i="1"/>
  <c r="Q50" i="1"/>
  <c r="R50" i="1"/>
  <c r="T50" i="1"/>
  <c r="U50" i="1"/>
  <c r="Y50" i="1" s="1"/>
  <c r="V50" i="1"/>
  <c r="X50" i="1"/>
  <c r="W50" i="1" s="1"/>
  <c r="N51" i="1"/>
  <c r="P51" i="1"/>
  <c r="Q51" i="1"/>
  <c r="R51" i="1"/>
  <c r="T51" i="1"/>
  <c r="U51" i="1"/>
  <c r="Y51" i="1" s="1"/>
  <c r="V51" i="1"/>
  <c r="X51" i="1"/>
  <c r="W51" i="1" s="1"/>
  <c r="N52" i="1"/>
  <c r="P52" i="1"/>
  <c r="Q52" i="1"/>
  <c r="R52" i="1"/>
  <c r="T52" i="1"/>
  <c r="U52" i="1"/>
  <c r="Y52" i="1" s="1"/>
  <c r="V52" i="1"/>
  <c r="X52" i="1"/>
  <c r="W52" i="1" s="1"/>
  <c r="N53" i="1"/>
  <c r="P53" i="1"/>
  <c r="Q53" i="1"/>
  <c r="R53" i="1"/>
  <c r="T53" i="1"/>
  <c r="U53" i="1"/>
  <c r="Y53" i="1" s="1"/>
  <c r="V53" i="1"/>
  <c r="X53" i="1"/>
  <c r="W53" i="1" s="1"/>
  <c r="N54" i="1"/>
  <c r="P54" i="1"/>
  <c r="Q54" i="1"/>
  <c r="R54" i="1"/>
  <c r="T54" i="1"/>
  <c r="U54" i="1"/>
  <c r="V54" i="1"/>
  <c r="X54" i="1"/>
  <c r="W54" i="1" s="1"/>
  <c r="Y54" i="1"/>
  <c r="N55" i="1"/>
  <c r="P55" i="1"/>
  <c r="Q55" i="1"/>
  <c r="R55" i="1"/>
  <c r="T55" i="1"/>
  <c r="U55" i="1"/>
  <c r="Y55" i="1" s="1"/>
  <c r="V55" i="1"/>
  <c r="X55" i="1"/>
  <c r="W55" i="1" s="1"/>
  <c r="N56" i="1"/>
  <c r="P56" i="1"/>
  <c r="Q56" i="1"/>
  <c r="R56" i="1"/>
  <c r="T56" i="1"/>
  <c r="U56" i="1"/>
  <c r="V56" i="1"/>
  <c r="X56" i="1"/>
  <c r="W56" i="1" s="1"/>
  <c r="Y56" i="1"/>
  <c r="N57" i="1"/>
  <c r="P57" i="1"/>
  <c r="Q57" i="1"/>
  <c r="R57" i="1"/>
  <c r="T57" i="1"/>
  <c r="U57" i="1"/>
  <c r="Y57" i="1" s="1"/>
  <c r="V57" i="1"/>
  <c r="X57" i="1"/>
  <c r="W57" i="1" s="1"/>
  <c r="N58" i="1"/>
  <c r="P58" i="1"/>
  <c r="Q58" i="1"/>
  <c r="R58" i="1"/>
  <c r="T58" i="1"/>
  <c r="U58" i="1"/>
  <c r="Y58" i="1" s="1"/>
  <c r="V58" i="1"/>
  <c r="X58" i="1"/>
  <c r="W58" i="1" s="1"/>
  <c r="N59" i="1"/>
  <c r="P59" i="1"/>
  <c r="Q59" i="1"/>
  <c r="R59" i="1"/>
  <c r="T59" i="1"/>
  <c r="U59" i="1"/>
  <c r="Y59" i="1" s="1"/>
  <c r="V59" i="1"/>
  <c r="X59" i="1"/>
  <c r="W59" i="1" s="1"/>
  <c r="N60" i="1"/>
  <c r="P60" i="1"/>
  <c r="Q60" i="1"/>
  <c r="R60" i="1"/>
  <c r="T60" i="1"/>
  <c r="U60" i="1"/>
  <c r="Y60" i="1" s="1"/>
  <c r="V60" i="1"/>
  <c r="X60" i="1"/>
  <c r="W60" i="1" s="1"/>
  <c r="N61" i="1"/>
  <c r="P61" i="1"/>
  <c r="Q61" i="1"/>
  <c r="R61" i="1"/>
  <c r="T61" i="1"/>
  <c r="U61" i="1"/>
  <c r="Y61" i="1" s="1"/>
  <c r="V61" i="1"/>
  <c r="X61" i="1"/>
  <c r="W61" i="1"/>
  <c r="N62" i="1"/>
  <c r="P62" i="1"/>
  <c r="Q62" i="1"/>
  <c r="R62" i="1"/>
  <c r="T62" i="1"/>
  <c r="U62" i="1"/>
  <c r="V62" i="1"/>
  <c r="X62" i="1"/>
  <c r="W62" i="1" s="1"/>
  <c r="Y6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X10" i="1"/>
  <c r="W10" i="1" s="1"/>
  <c r="X12" i="1"/>
  <c r="W12" i="1" s="1"/>
  <c r="X14" i="1"/>
  <c r="W14" i="1" s="1"/>
  <c r="X16" i="1"/>
  <c r="W16" i="1" s="1"/>
  <c r="X18" i="1"/>
  <c r="W18" i="1" s="1"/>
  <c r="X20" i="1"/>
  <c r="W20" i="1" s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" i="1"/>
  <c r="AB2" i="1"/>
  <c r="X2" i="1" s="1"/>
  <c r="W2" i="1" s="1"/>
  <c r="P2" i="1"/>
  <c r="R3" i="1"/>
  <c r="T3" i="1"/>
  <c r="R4" i="1"/>
  <c r="T4" i="1"/>
  <c r="R5" i="1"/>
  <c r="T5" i="1"/>
  <c r="R6" i="1"/>
  <c r="T6" i="1"/>
  <c r="R7" i="1"/>
  <c r="T7" i="1"/>
  <c r="R8" i="1"/>
  <c r="T8" i="1"/>
  <c r="R9" i="1"/>
  <c r="T9" i="1"/>
  <c r="R10" i="1"/>
  <c r="T10" i="1"/>
  <c r="R11" i="1"/>
  <c r="T11" i="1"/>
  <c r="R12" i="1"/>
  <c r="T12" i="1"/>
  <c r="R13" i="1"/>
  <c r="T13" i="1"/>
  <c r="R14" i="1"/>
  <c r="T14" i="1"/>
  <c r="R15" i="1"/>
  <c r="T15" i="1"/>
  <c r="R16" i="1"/>
  <c r="T16" i="1"/>
  <c r="R17" i="1"/>
  <c r="T17" i="1"/>
  <c r="R18" i="1"/>
  <c r="T18" i="1"/>
  <c r="R19" i="1"/>
  <c r="T19" i="1"/>
  <c r="R20" i="1"/>
  <c r="T20" i="1"/>
  <c r="V4" i="1"/>
  <c r="V12" i="1"/>
  <c r="V20" i="1"/>
  <c r="N3" i="1"/>
  <c r="U3" i="1"/>
  <c r="Y3" i="1"/>
  <c r="V3" i="1"/>
  <c r="N4" i="1"/>
  <c r="U4" i="1"/>
  <c r="Y4" i="1"/>
  <c r="N5" i="1"/>
  <c r="U5" i="1"/>
  <c r="Y5" i="1" s="1"/>
  <c r="V5" i="1"/>
  <c r="N6" i="1"/>
  <c r="U6" i="1"/>
  <c r="Y6" i="1" s="1"/>
  <c r="V6" i="1"/>
  <c r="N7" i="1"/>
  <c r="U7" i="1"/>
  <c r="Y7" i="1" s="1"/>
  <c r="V7" i="1"/>
  <c r="U8" i="1"/>
  <c r="Y8" i="1"/>
  <c r="U9" i="1"/>
  <c r="Y9" i="1"/>
  <c r="U10" i="1"/>
  <c r="U11" i="1"/>
  <c r="Y11" i="1" s="1"/>
  <c r="U12" i="1"/>
  <c r="U13" i="1"/>
  <c r="Y13" i="1"/>
  <c r="U14" i="1"/>
  <c r="Y14" i="1"/>
  <c r="U15" i="1"/>
  <c r="Y15" i="1"/>
  <c r="U16" i="1"/>
  <c r="U17" i="1"/>
  <c r="Y17" i="1" s="1"/>
  <c r="U18" i="1"/>
  <c r="Y18" i="1" s="1"/>
  <c r="U19" i="1"/>
  <c r="Y19" i="1" s="1"/>
  <c r="U20" i="1"/>
  <c r="Y10" i="1"/>
  <c r="Y12" i="1"/>
  <c r="Y16" i="1"/>
  <c r="Y20" i="1"/>
  <c r="U2" i="1"/>
  <c r="Y2" i="1"/>
  <c r="Z2" i="1" s="1"/>
  <c r="V8" i="1"/>
  <c r="V9" i="1"/>
  <c r="V10" i="1"/>
  <c r="V11" i="1"/>
  <c r="V13" i="1"/>
  <c r="V14" i="1"/>
  <c r="V15" i="1"/>
  <c r="V16" i="1"/>
  <c r="V17" i="1"/>
  <c r="V18" i="1"/>
  <c r="V19" i="1"/>
  <c r="V2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" i="1"/>
  <c r="T2" i="1"/>
  <c r="R2" i="1"/>
  <c r="X19" i="1"/>
  <c r="W19" i="1" s="1"/>
  <c r="X17" i="1"/>
  <c r="W17" i="1" s="1"/>
  <c r="X15" i="1"/>
  <c r="W15" i="1" s="1"/>
  <c r="X13" i="1"/>
  <c r="W13" i="1" s="1"/>
  <c r="X11" i="1"/>
  <c r="W11" i="1" s="1"/>
  <c r="X9" i="1"/>
  <c r="W9" i="1" s="1"/>
  <c r="X7" i="1"/>
  <c r="W7" i="1" s="1"/>
  <c r="X5" i="1"/>
  <c r="W5" i="1" s="1"/>
  <c r="X3" i="1"/>
  <c r="W3" i="1" s="1"/>
  <c r="X8" i="1"/>
  <c r="W8" i="1" s="1"/>
  <c r="X6" i="1"/>
  <c r="W6" i="1" s="1"/>
  <c r="X4" i="1"/>
  <c r="W4" i="1" s="1"/>
  <c r="W41" i="1"/>
</calcChain>
</file>

<file path=xl/sharedStrings.xml><?xml version="1.0" encoding="utf-8"?>
<sst xmlns="http://schemas.openxmlformats.org/spreadsheetml/2006/main" count="348" uniqueCount="161">
  <si>
    <t>PREVENCION RIESGO DE TRABAJO</t>
  </si>
  <si>
    <t>LEY 24557 RIESGO DEL TRABAJO</t>
  </si>
  <si>
    <t>NRO.CTA.</t>
  </si>
  <si>
    <t>NOMBRE</t>
  </si>
  <si>
    <t>IDCTA</t>
  </si>
  <si>
    <t>C.COSTO</t>
  </si>
  <si>
    <t>* DEPENDE DEL CENTRO DE COSTO DEL EMPLEADO</t>
  </si>
  <si>
    <t>GASTOS RENOV.PRESTAMOS</t>
  </si>
  <si>
    <t>AJUSTE POR REDONDEO</t>
  </si>
  <si>
    <t>INTERESES</t>
  </si>
  <si>
    <t>ANTICIPO AL PERSONAL</t>
  </si>
  <si>
    <t>PRESTAMOS AL PERSONAL</t>
  </si>
  <si>
    <t>RET.P/SERV.ELECT.AL PERSONAL</t>
  </si>
  <si>
    <t>RET.SERV.DE TEL.E INT.AL PERSO</t>
  </si>
  <si>
    <t>BAE DEVENGADA A PAGAR</t>
  </si>
  <si>
    <t>BONIF.CONV.ART. 9 C.C.T.36/75</t>
  </si>
  <si>
    <t>ASIG.TUR.SOC.DEVENGADO</t>
  </si>
  <si>
    <t>SAC. DEVENGADO A PAGAR</t>
  </si>
  <si>
    <t>REMUNERACIONES A PAGAR</t>
  </si>
  <si>
    <t>DCTO.1384/1 FAC.PAGO</t>
  </si>
  <si>
    <t>SIST.DE RETIRO COMPLEMENTARIO</t>
  </si>
  <si>
    <t>Turismo Foesitra</t>
  </si>
  <si>
    <t>Serv.Telev.al Personal</t>
  </si>
  <si>
    <t>PRESTAMOS LUZ Y FZA</t>
  </si>
  <si>
    <t>PRESTAMOS CEC</t>
  </si>
  <si>
    <t>SUELDOS</t>
  </si>
  <si>
    <t>*</t>
  </si>
  <si>
    <t>CARGAS SOCIALES</t>
  </si>
  <si>
    <t>SAC PTE-DE LIQ.</t>
  </si>
  <si>
    <t>VAC.EJE.CTE.PTE.LIQ.</t>
  </si>
  <si>
    <t>BAE PTE.LIQ.</t>
  </si>
  <si>
    <t>ASIG.TUR.SOCIAL PTE.LIQ.</t>
  </si>
  <si>
    <t>OTROS GASTOS EN PERSONAL</t>
  </si>
  <si>
    <t>FALLA CAJA SAN MARTIN</t>
  </si>
  <si>
    <t>FALLA CAJA GARCIA</t>
  </si>
  <si>
    <t>FALLA CAJA MARTIN GARCIA</t>
  </si>
  <si>
    <t>FALLA CAJA NATALIA CARRACEDO</t>
  </si>
  <si>
    <t>FALLA CAJA BOIRO</t>
  </si>
  <si>
    <t>FALLA CAJA NILLES</t>
  </si>
  <si>
    <t>FALLA CAJA FIANDRINO</t>
  </si>
  <si>
    <t>FALLA CAJA GASTALDO</t>
  </si>
  <si>
    <t>FALLA CAJA CRESPO</t>
  </si>
  <si>
    <t>FALLA CAJA SAN COSME</t>
  </si>
  <si>
    <t>FALLA CAJA HERNANDEZ</t>
  </si>
  <si>
    <t>FALLA CAJA ELOISA</t>
  </si>
  <si>
    <t>FALLA CAJA ABADIE</t>
  </si>
  <si>
    <t>FALLA CAJA CARRACEDO</t>
  </si>
  <si>
    <t>FALLO CAJA MARTINEZ MARIANO</t>
  </si>
  <si>
    <t>FALLO DE CAJA PAOLI ALEJANDRO</t>
  </si>
  <si>
    <t>FALLO DE CAJA PEREZ PABLO</t>
  </si>
  <si>
    <t>FALLO DE CAJA ALBARELLOS FABIA</t>
  </si>
  <si>
    <t>Fallo de Caja Romero</t>
  </si>
  <si>
    <t>FALLO CAJA BRANDAN DIEGO</t>
  </si>
  <si>
    <t>AFIP CF IVA DCTO 814/01 HABERE</t>
  </si>
  <si>
    <t>IMPUESTOS A LAS GANANCIAS</t>
  </si>
  <si>
    <t>SELLADOS PRESTAMOS PERSONALES</t>
  </si>
  <si>
    <t>S.I.J.P. LEY 24.241</t>
  </si>
  <si>
    <t>CONT.FNE.Y ASIG.FAMILIARES</t>
  </si>
  <si>
    <t>FATLYF-FDO.COMP.P/JUB.Y PEN.</t>
  </si>
  <si>
    <t>FONDO DE CESE LABORAL</t>
  </si>
  <si>
    <t>REGISTRO NAC.IND.DE LA CONSTRU</t>
  </si>
  <si>
    <t>SEGURO DE VIDA ART.108</t>
  </si>
  <si>
    <t>OBRA SOCIAL LUZ Y FUERZA</t>
  </si>
  <si>
    <t>OBRA SOCIAL OSECAC</t>
  </si>
  <si>
    <t>OBRA SOCIAL OSDE</t>
  </si>
  <si>
    <t>OBRA SOCIAL PERS DE LA</t>
  </si>
  <si>
    <t>SIND.TRAB.LUZ Y FUERZA CUOTA</t>
  </si>
  <si>
    <t>SIND.TRAB.LUZ Y FZA.MERC.</t>
  </si>
  <si>
    <t>SIND.TRAB.LUZ Y FZA.(BA) DN</t>
  </si>
  <si>
    <t>COSEGURO-SIND.TRAB.LUZ Y FZA.</t>
  </si>
  <si>
    <t>CUOTA SIND.CENTRO EMPLEADO COM</t>
  </si>
  <si>
    <t>CUOTA SOCIAL - UOCRA 2,5%</t>
  </si>
  <si>
    <t>ADIC.ART.69-70-72-CCT32/75</t>
  </si>
  <si>
    <t>ADM.NAC.DE SEG.SALUD (ANSAL)</t>
  </si>
  <si>
    <t>INSSJP LEY 19032</t>
  </si>
  <si>
    <t>SIND.TRAB.LUZ Y FZA. TUR.</t>
  </si>
  <si>
    <t>OBRA SOCIL PER.SANIDAD</t>
  </si>
  <si>
    <t>FATSA-CUOTA SINDICAL</t>
  </si>
  <si>
    <t>OSPSA-AP.FED.ASOC.TRAB.</t>
  </si>
  <si>
    <t>FAECYS ART 100-C.C.130/75</t>
  </si>
  <si>
    <t>OBRA SOCIAL SEMPRE</t>
  </si>
  <si>
    <t>SIPOS CUOTA SINDICAL</t>
  </si>
  <si>
    <t>FDO.INV.CAPAC.Y SEG.-UOCRA</t>
  </si>
  <si>
    <t>S.T.L.Y F.AP.SOLID.2%</t>
  </si>
  <si>
    <t>FODECO-FDO.P/DESARROLLO</t>
  </si>
  <si>
    <t>OBRA SOCIAL PERS.ORG.CON</t>
  </si>
  <si>
    <t>OBRA SOCIAL U.P.C.N.</t>
  </si>
  <si>
    <t>OBRA SOCIAL OSTEL (TELECOMUNIC</t>
  </si>
  <si>
    <t>OBRA SOCIAL OSPIDA</t>
  </si>
  <si>
    <t>OBRA SOCIAL PERS.DE TELEVISION</t>
  </si>
  <si>
    <t>FARMACIA SINDICAL LUZ Y FZA</t>
  </si>
  <si>
    <t>FE.N.T.O.S.(SIPOS)</t>
  </si>
  <si>
    <t>CUOTA SOLIDARIA F.A.T.S.A</t>
  </si>
  <si>
    <t>OBRA SOCIAL SERENO DE BUQUES</t>
  </si>
  <si>
    <t>OBRA SOCIAL DE CAPAT.ESTIBADOR</t>
  </si>
  <si>
    <t>O.SOC.ASOC.MUT.P.JERAR.BCO.OFI</t>
  </si>
  <si>
    <t>O.SOC.DE LA ACT.CERV.Y A FINES</t>
  </si>
  <si>
    <t>INACAP-INST.ARG.DE CAP.PRO</t>
  </si>
  <si>
    <t>CONTB.SOLID.TELEFONIA</t>
  </si>
  <si>
    <t>CUOTA SINDICAL TELEFONIA</t>
  </si>
  <si>
    <t>CES. SINDICAT.LA PAMPA</t>
  </si>
  <si>
    <t>AP.ADIC.RES.MTYSS NRO.268</t>
  </si>
  <si>
    <t>OBRA SOCIAL FERROVIARIA</t>
  </si>
  <si>
    <t>OBRA SOCIAL OSCTCP</t>
  </si>
  <si>
    <t>CUOTA SINDICAL UTA 1,5%</t>
  </si>
  <si>
    <t>APORTE SOLIDARIO OBLIGATORIO</t>
  </si>
  <si>
    <t>OBRA SOCIAL OSMMEDT</t>
  </si>
  <si>
    <t>RET.POR ORDEN JUDICIAL</t>
  </si>
  <si>
    <t>OTRAS RETENCIONES</t>
  </si>
  <si>
    <t>GRAT.EXTRAOR.JUB.ART 45</t>
  </si>
  <si>
    <t>Ley 26.494 Pers. UOCRA</t>
  </si>
  <si>
    <t>OSDEPYM</t>
  </si>
  <si>
    <t>OSCONAVE</t>
  </si>
  <si>
    <t>O.S.AERONAV.DE ENTES PRIVADOS</t>
  </si>
  <si>
    <t>OSMSS</t>
  </si>
  <si>
    <t>OSASE</t>
  </si>
  <si>
    <t>SANCOR SALUD</t>
  </si>
  <si>
    <t>O.S.TEC.VUELOS LINEAS AEREAS</t>
  </si>
  <si>
    <t>O.S.ELEC.NAVALES</t>
  </si>
  <si>
    <t>art.47 Aporte Solidario</t>
  </si>
  <si>
    <t>Focon 6% art.42</t>
  </si>
  <si>
    <t>art.48 Ac.Soc.</t>
  </si>
  <si>
    <t>Cont.Solidaria art.49</t>
  </si>
  <si>
    <t>Aporte Solid.Television</t>
  </si>
  <si>
    <t>O.S.A.C.R.A.(O.Soc.Amas de Cas</t>
  </si>
  <si>
    <t>Turismo TV 1%</t>
  </si>
  <si>
    <t>Cuota Sindical TV 2%</t>
  </si>
  <si>
    <t>Farmacia TV 3%</t>
  </si>
  <si>
    <t>AP.SOL.ACUE.2015 2% UTA</t>
  </si>
  <si>
    <t>O.S.P.D.E.A.</t>
  </si>
  <si>
    <t>OB.SOCIAL PERS.PRENSA R.A.</t>
  </si>
  <si>
    <t>CUOTA SIND.FATREN</t>
  </si>
  <si>
    <t>OBRA SOC.COND.CAMION.Y TRAN.CA</t>
  </si>
  <si>
    <t>LICENCIA 2011</t>
  </si>
  <si>
    <t>LICENCIA 2017</t>
  </si>
  <si>
    <t>VAC.YCAR.SOC.DEV.A PAGAR</t>
  </si>
  <si>
    <t>LICENCIA A¥O 2014</t>
  </si>
  <si>
    <t>LICENCIA 2015</t>
  </si>
  <si>
    <t>Licencia 2016</t>
  </si>
  <si>
    <t>LICENCIA A¥O 2011</t>
  </si>
  <si>
    <t>4</t>
  </si>
  <si>
    <t>OBRA SOC.OSPIN</t>
  </si>
  <si>
    <t>CONTRIBUCION  Dcto 633/18</t>
  </si>
  <si>
    <t xml:space="preserve">CARGAS SOCIALES                         </t>
  </si>
  <si>
    <t>PROVEEDORES DE SEGURO</t>
  </si>
  <si>
    <t>CONTRIBUCION EMPRESARIAL UOCRA</t>
  </si>
  <si>
    <t>LICENCIA 2019</t>
  </si>
  <si>
    <t>LICENCIA 2018</t>
  </si>
  <si>
    <t>COMP.PAGO CTA.ART.24 LEY IVA</t>
  </si>
  <si>
    <t>CONT.SATSAID.Ac.2019</t>
  </si>
  <si>
    <t>TENER ORDENADO POR CTA.CONTABLE</t>
  </si>
  <si>
    <t xml:space="preserve"> SANCOR S/TOPE MAXIMO</t>
  </si>
  <si>
    <t>FALLA CAJA VIZCARRA</t>
  </si>
  <si>
    <t>SAC</t>
  </si>
  <si>
    <t>VACACIONES</t>
  </si>
  <si>
    <t>BAE</t>
  </si>
  <si>
    <t>HORAS EXTRAS</t>
  </si>
  <si>
    <t>CONTRIB.SOLIDARIA LyF</t>
  </si>
  <si>
    <t>CONTRIB.SOLIDARIA  SIPOS</t>
  </si>
  <si>
    <t xml:space="preserve">SAC PTE-DE LIQ.                         </t>
  </si>
  <si>
    <t xml:space="preserve">SAC. DEVENGADO A PAGAR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</si>
</sst>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5" formatCode="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9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/>
    <xf numFmtId="14" fontId="0" fillId="0" borderId="0" xfId="0" applyNumberFormat="1"/>
    <xf numFmtId="49" fontId="0" fillId="0" borderId="0" xfId="0" applyNumberFormat="1"/>
    <xf numFmtId="2" fontId="0" fillId="0" borderId="0" xfId="0" applyNumberFormat="1"/>
    <xf numFmtId="165" fontId="0" fillId="0" borderId="0" xfId="0" applyNumberFormat="1" applyProtection="1">
      <protection locked="0"/>
    </xf>
    <xf numFmtId="0" fontId="0" fillId="0" borderId="0" xfId="0" applyBorder="1"/>
    <xf numFmtId="0" fontId="0" fillId="0" borderId="0" xfId="0" applyFill="1" applyBorder="1"/>
    <xf numFmtId="0" fontId="2" fillId="3" borderId="0" xfId="0" applyFont="1" applyFill="1" applyBorder="1" applyAlignment="1"/>
    <xf numFmtId="0" fontId="0" fillId="0" borderId="0" xfId="0" applyFill="1"/>
    <xf numFmtId="14" fontId="0" fillId="0" borderId="0" xfId="0" applyNumberFormat="1" applyFont="1"/>
    <xf numFmtId="0" fontId="0" fillId="0" borderId="0" xfId="0" applyFont="1"/>
    <xf numFmtId="2" fontId="0" fillId="0" borderId="1" xfId="0" applyNumberFormat="1" applyFont="1" applyBorder="1"/>
    <xf numFmtId="2" fontId="0" fillId="0" borderId="1" xfId="0" applyNumberFormat="1" applyFont="1" applyFill="1" applyBorder="1"/>
    <xf numFmtId="0" fontId="0" fillId="0" borderId="1" xfId="0" applyFont="1" applyBorder="1"/>
    <xf numFmtId="2" fontId="0" fillId="0" borderId="2" xfId="0" applyNumberFormat="1" applyFont="1" applyFill="1" applyBorder="1"/>
    <xf numFmtId="2" fontId="0" fillId="0" borderId="0" xfId="0" applyNumberFormat="1" applyFont="1"/>
    <xf numFmtId="0" fontId="0" fillId="0" borderId="1" xfId="0" applyFont="1" applyFill="1" applyBorder="1"/>
    <xf numFmtId="0" fontId="0" fillId="2" borderId="1" xfId="0" applyFont="1" applyFill="1" applyBorder="1"/>
    <xf numFmtId="2" fontId="0" fillId="0" borderId="0" xfId="0" applyNumberFormat="1" applyFont="1" applyBorder="1"/>
    <xf numFmtId="0" fontId="0" fillId="2" borderId="0" xfId="0" applyFont="1" applyFill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2" fontId="3" fillId="0" borderId="2" xfId="0" applyNumberFormat="1" applyFont="1" applyFill="1" applyBorder="1"/>
    <xf numFmtId="2" fontId="3" fillId="0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honeticPr fontId="1" type="noConversion"/>
  <pageMargins left="0.75" right="0.75" top="1" bottom="1" header="0" footer="0"/>
  <headerFooter alignWithMargins="0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B343"/>
  <sheetViews>
    <sheetView tabSelected="1" topLeftCell="M73" workbookViewId="0">
      <selection activeCell="L85" sqref="L85:L103"/>
    </sheetView>
  </sheetViews>
  <sheetFormatPr baseColWidth="10" defaultRowHeight="15" x14ac:dyDescent="0.25"/>
  <cols>
    <col min="1" max="5" width="11.42578125" style="11"/>
    <col min="7" max="7" width="37.140625" customWidth="1"/>
    <col min="13" max="13" width="11.42578125" style="1"/>
    <col min="15" max="15" width="34.7109375" customWidth="1"/>
    <col min="16" max="16" width="11.42578125" style="3"/>
    <col min="17" max="17" width="11.42578125" style="5"/>
    <col min="18" max="18" width="11.42578125" style="4"/>
    <col min="19" max="19" width="4.28515625" style="4" customWidth="1"/>
  </cols>
  <sheetData>
    <row r="1" spans="1:28" x14ac:dyDescent="0.25">
      <c r="A1" s="10">
        <v>43861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L1">
        <v>5</v>
      </c>
      <c r="M1" s="1">
        <v>5</v>
      </c>
      <c r="N1">
        <v>8</v>
      </c>
      <c r="O1">
        <v>40</v>
      </c>
      <c r="P1" s="3" t="s">
        <v>140</v>
      </c>
      <c r="Q1" s="5">
        <v>4</v>
      </c>
      <c r="R1" s="4">
        <v>10.199999999999999</v>
      </c>
      <c r="S1" s="4">
        <v>1</v>
      </c>
      <c r="T1">
        <v>10.199999999999999</v>
      </c>
    </row>
    <row r="2" spans="1:28" x14ac:dyDescent="0.25">
      <c r="F2">
        <v>4206</v>
      </c>
      <c r="G2" t="s">
        <v>7</v>
      </c>
      <c r="H2">
        <v>1168</v>
      </c>
      <c r="I2">
        <v>52</v>
      </c>
      <c r="L2">
        <v>88888</v>
      </c>
      <c r="M2" s="1">
        <v>1</v>
      </c>
      <c r="N2" s="2">
        <f>+A$1</f>
        <v>43861</v>
      </c>
      <c r="O2" t="s">
        <v>159</v>
      </c>
      <c r="P2">
        <f t="shared" ref="P2:P65" si="0">LOOKUP(A3,F$2:F$153,H$2:H$153)</f>
        <v>1030</v>
      </c>
      <c r="Q2" s="5">
        <f t="shared" ref="Q2:Q20" si="1">+C3</f>
        <v>2</v>
      </c>
      <c r="R2" s="4">
        <f t="shared" ref="R2:R20" si="2">+D3</f>
        <v>23924.624166666665</v>
      </c>
      <c r="T2" s="4">
        <f t="shared" ref="T2:T20" si="3">+E3</f>
        <v>0</v>
      </c>
      <c r="U2">
        <f>LEN(S2)</f>
        <v>0</v>
      </c>
      <c r="V2">
        <f>LEN(O2)</f>
        <v>40</v>
      </c>
      <c r="W2" t="str">
        <f t="shared" ref="W2:W20" si="4">AB2 &amp; REPT(" ",(40-X2))</f>
        <v xml:space="preserve">SAC PTE-DE LIQ.                         </v>
      </c>
      <c r="X2">
        <f t="shared" ref="X2:X20" si="5">LEN(AB2)</f>
        <v>15</v>
      </c>
      <c r="Y2" t="str">
        <f t="shared" ref="Y2:Y20" si="6">S2 &amp; REPT(" ",(1-U2))</f>
        <v xml:space="preserve"> </v>
      </c>
      <c r="Z2">
        <f>LEN(Y2)</f>
        <v>1</v>
      </c>
      <c r="AB2" t="str">
        <f t="shared" ref="AB2:AB65" si="7">LOOKUP(A3,F$2:F$153,G$2:G$153)</f>
        <v>SAC PTE-DE LIQ.</v>
      </c>
    </row>
    <row r="3" spans="1:28" x14ac:dyDescent="0.25">
      <c r="A3" s="21">
        <v>5110503</v>
      </c>
      <c r="B3" s="21" t="s">
        <v>28</v>
      </c>
      <c r="C3" s="11">
        <v>2</v>
      </c>
      <c r="D3" s="12">
        <v>23924.624166666665</v>
      </c>
      <c r="E3" s="13"/>
      <c r="F3">
        <v>4222</v>
      </c>
      <c r="G3" t="s">
        <v>8</v>
      </c>
      <c r="H3">
        <v>1194</v>
      </c>
      <c r="I3">
        <v>1</v>
      </c>
      <c r="L3">
        <v>88888</v>
      </c>
      <c r="M3" s="1">
        <f t="shared" ref="M3:M20" si="8">+M2+1</f>
        <v>2</v>
      </c>
      <c r="N3" s="2">
        <f t="shared" ref="N3:N20" si="9">+A$1</f>
        <v>43861</v>
      </c>
      <c r="O3" t="s">
        <v>143</v>
      </c>
      <c r="P3">
        <f t="shared" si="0"/>
        <v>1029</v>
      </c>
      <c r="Q3" s="5">
        <f t="shared" si="1"/>
        <v>2</v>
      </c>
      <c r="R3" s="4">
        <f t="shared" si="2"/>
        <v>8612.8646999999983</v>
      </c>
      <c r="T3" s="4">
        <f t="shared" si="3"/>
        <v>0</v>
      </c>
      <c r="U3">
        <f t="shared" ref="U3:U20" si="10">LEN(S3)</f>
        <v>0</v>
      </c>
      <c r="V3">
        <f t="shared" ref="V3:V20" si="11">LEN(O3)</f>
        <v>40</v>
      </c>
      <c r="W3" t="str">
        <f t="shared" si="4"/>
        <v xml:space="preserve">CARGAS SOCIALES                         </v>
      </c>
      <c r="X3">
        <f t="shared" si="5"/>
        <v>15</v>
      </c>
      <c r="Y3" t="str">
        <f t="shared" si="6"/>
        <v xml:space="preserve"> </v>
      </c>
      <c r="AB3" t="str">
        <f t="shared" si="7"/>
        <v>CARGAS SOCIALES</v>
      </c>
    </row>
    <row r="4" spans="1:28" x14ac:dyDescent="0.25">
      <c r="A4" s="21">
        <v>5110502</v>
      </c>
      <c r="B4" s="21" t="s">
        <v>27</v>
      </c>
      <c r="C4" s="22">
        <v>2</v>
      </c>
      <c r="D4" s="12">
        <v>8612.8646999999983</v>
      </c>
      <c r="E4" s="13"/>
      <c r="F4">
        <v>5303</v>
      </c>
      <c r="G4" t="s">
        <v>9</v>
      </c>
      <c r="H4">
        <v>1237</v>
      </c>
      <c r="I4">
        <v>1</v>
      </c>
      <c r="L4">
        <v>88888</v>
      </c>
      <c r="M4" s="1">
        <f t="shared" si="8"/>
        <v>3</v>
      </c>
      <c r="N4" s="2">
        <f t="shared" si="9"/>
        <v>43861</v>
      </c>
      <c r="O4" t="s">
        <v>159</v>
      </c>
      <c r="P4">
        <f t="shared" si="0"/>
        <v>1030</v>
      </c>
      <c r="Q4" s="5">
        <f t="shared" si="1"/>
        <v>3</v>
      </c>
      <c r="R4" s="4">
        <f t="shared" si="2"/>
        <v>96048.32222222221</v>
      </c>
      <c r="T4" s="4">
        <f t="shared" si="3"/>
        <v>0</v>
      </c>
      <c r="U4">
        <f t="shared" si="10"/>
        <v>0</v>
      </c>
      <c r="V4">
        <f t="shared" si="11"/>
        <v>40</v>
      </c>
      <c r="W4" t="str">
        <f t="shared" si="4"/>
        <v xml:space="preserve">SAC PTE-DE LIQ.                         </v>
      </c>
      <c r="X4">
        <f t="shared" si="5"/>
        <v>15</v>
      </c>
      <c r="Y4" t="str">
        <f t="shared" si="6"/>
        <v xml:space="preserve"> </v>
      </c>
      <c r="AB4" t="str">
        <f t="shared" si="7"/>
        <v>SAC PTE-DE LIQ.</v>
      </c>
    </row>
    <row r="5" spans="1:28" x14ac:dyDescent="0.25">
      <c r="A5" s="21">
        <v>5110503</v>
      </c>
      <c r="B5" s="21" t="s">
        <v>28</v>
      </c>
      <c r="C5" s="22">
        <v>3</v>
      </c>
      <c r="D5" s="12">
        <v>96048.32222222221</v>
      </c>
      <c r="E5" s="13"/>
      <c r="F5">
        <v>113209</v>
      </c>
      <c r="G5" t="s">
        <v>10</v>
      </c>
      <c r="H5">
        <v>286</v>
      </c>
      <c r="I5">
        <v>1</v>
      </c>
      <c r="L5">
        <v>88888</v>
      </c>
      <c r="M5" s="1">
        <f t="shared" si="8"/>
        <v>4</v>
      </c>
      <c r="N5" s="2">
        <f t="shared" si="9"/>
        <v>43861</v>
      </c>
      <c r="O5" t="s">
        <v>143</v>
      </c>
      <c r="P5">
        <f t="shared" si="0"/>
        <v>1029</v>
      </c>
      <c r="Q5" s="5">
        <f t="shared" si="1"/>
        <v>3</v>
      </c>
      <c r="R5" s="4">
        <f t="shared" si="2"/>
        <v>34577.395999999993</v>
      </c>
      <c r="T5" s="4">
        <f t="shared" si="3"/>
        <v>0</v>
      </c>
      <c r="U5">
        <f t="shared" si="10"/>
        <v>0</v>
      </c>
      <c r="V5">
        <f t="shared" si="11"/>
        <v>40</v>
      </c>
      <c r="W5" t="str">
        <f t="shared" si="4"/>
        <v xml:space="preserve">CARGAS SOCIALES                         </v>
      </c>
      <c r="X5">
        <f t="shared" si="5"/>
        <v>15</v>
      </c>
      <c r="Y5" t="str">
        <f t="shared" si="6"/>
        <v xml:space="preserve"> </v>
      </c>
      <c r="AB5" t="str">
        <f t="shared" si="7"/>
        <v>CARGAS SOCIALES</v>
      </c>
    </row>
    <row r="6" spans="1:28" x14ac:dyDescent="0.25">
      <c r="A6" s="21">
        <v>5110502</v>
      </c>
      <c r="B6" s="21" t="s">
        <v>27</v>
      </c>
      <c r="C6" s="22">
        <v>3</v>
      </c>
      <c r="D6" s="12">
        <v>34577.395999999993</v>
      </c>
      <c r="E6" s="13"/>
      <c r="F6">
        <v>113211</v>
      </c>
      <c r="G6" t="s">
        <v>11</v>
      </c>
      <c r="H6">
        <v>288</v>
      </c>
      <c r="I6">
        <v>1</v>
      </c>
      <c r="L6">
        <v>88888</v>
      </c>
      <c r="M6" s="1">
        <f t="shared" si="8"/>
        <v>5</v>
      </c>
      <c r="N6" s="2">
        <f t="shared" si="9"/>
        <v>43861</v>
      </c>
      <c r="O6" t="s">
        <v>159</v>
      </c>
      <c r="P6">
        <f t="shared" si="0"/>
        <v>1030</v>
      </c>
      <c r="Q6" s="5">
        <f t="shared" si="1"/>
        <v>4</v>
      </c>
      <c r="R6" s="4">
        <f t="shared" si="2"/>
        <v>14255.66</v>
      </c>
      <c r="T6" s="4">
        <f t="shared" si="3"/>
        <v>0</v>
      </c>
      <c r="U6">
        <f t="shared" si="10"/>
        <v>0</v>
      </c>
      <c r="V6">
        <f t="shared" si="11"/>
        <v>40</v>
      </c>
      <c r="W6" t="str">
        <f t="shared" si="4"/>
        <v xml:space="preserve">SAC PTE-DE LIQ.                         </v>
      </c>
      <c r="X6">
        <f t="shared" si="5"/>
        <v>15</v>
      </c>
      <c r="Y6" t="str">
        <f t="shared" si="6"/>
        <v xml:space="preserve"> </v>
      </c>
      <c r="AB6" t="str">
        <f t="shared" si="7"/>
        <v>SAC PTE-DE LIQ.</v>
      </c>
    </row>
    <row r="7" spans="1:28" x14ac:dyDescent="0.25">
      <c r="A7" s="21">
        <v>5110503</v>
      </c>
      <c r="B7" s="21" t="s">
        <v>28</v>
      </c>
      <c r="C7" s="22">
        <v>4</v>
      </c>
      <c r="D7" s="12">
        <v>14255.66</v>
      </c>
      <c r="E7" s="13"/>
      <c r="F7">
        <v>211402</v>
      </c>
      <c r="G7" t="s">
        <v>12</v>
      </c>
      <c r="H7">
        <v>173</v>
      </c>
      <c r="I7">
        <v>1</v>
      </c>
      <c r="L7">
        <v>88888</v>
      </c>
      <c r="M7" s="1">
        <f t="shared" si="8"/>
        <v>6</v>
      </c>
      <c r="N7" s="2">
        <f t="shared" si="9"/>
        <v>43861</v>
      </c>
      <c r="O7" t="s">
        <v>143</v>
      </c>
      <c r="P7">
        <f t="shared" si="0"/>
        <v>1029</v>
      </c>
      <c r="Q7" s="5">
        <f t="shared" si="1"/>
        <v>4</v>
      </c>
      <c r="R7" s="4">
        <f t="shared" si="2"/>
        <v>5132.0375999999997</v>
      </c>
      <c r="T7" s="4">
        <f t="shared" si="3"/>
        <v>0</v>
      </c>
      <c r="U7">
        <f t="shared" si="10"/>
        <v>0</v>
      </c>
      <c r="V7">
        <f t="shared" si="11"/>
        <v>40</v>
      </c>
      <c r="W7" t="str">
        <f t="shared" si="4"/>
        <v xml:space="preserve">CARGAS SOCIALES                         </v>
      </c>
      <c r="X7">
        <f t="shared" si="5"/>
        <v>15</v>
      </c>
      <c r="Y7" t="str">
        <f t="shared" si="6"/>
        <v xml:space="preserve"> </v>
      </c>
      <c r="AB7" t="str">
        <f t="shared" si="7"/>
        <v>CARGAS SOCIALES</v>
      </c>
    </row>
    <row r="8" spans="1:28" x14ac:dyDescent="0.25">
      <c r="A8" s="21">
        <v>5110502</v>
      </c>
      <c r="B8" s="21" t="s">
        <v>27</v>
      </c>
      <c r="C8" s="22">
        <v>4</v>
      </c>
      <c r="D8" s="12">
        <v>5132.0375999999997</v>
      </c>
      <c r="E8" s="13"/>
      <c r="F8">
        <v>211403</v>
      </c>
      <c r="G8" t="s">
        <v>13</v>
      </c>
      <c r="H8">
        <v>174</v>
      </c>
      <c r="I8">
        <v>1</v>
      </c>
      <c r="L8">
        <v>88888</v>
      </c>
      <c r="M8" s="1">
        <f t="shared" si="8"/>
        <v>7</v>
      </c>
      <c r="N8" s="2">
        <f t="shared" si="9"/>
        <v>43861</v>
      </c>
      <c r="O8" t="s">
        <v>159</v>
      </c>
      <c r="P8">
        <f t="shared" si="0"/>
        <v>1030</v>
      </c>
      <c r="Q8" s="5">
        <f t="shared" si="1"/>
        <v>5</v>
      </c>
      <c r="R8" s="4">
        <f t="shared" si="2"/>
        <v>161062.64402777774</v>
      </c>
      <c r="T8" s="4">
        <f t="shared" si="3"/>
        <v>0</v>
      </c>
      <c r="U8">
        <f t="shared" si="10"/>
        <v>0</v>
      </c>
      <c r="V8">
        <f t="shared" si="11"/>
        <v>40</v>
      </c>
      <c r="W8" t="str">
        <f t="shared" si="4"/>
        <v xml:space="preserve">SAC PTE-DE LIQ.                         </v>
      </c>
      <c r="X8">
        <f t="shared" si="5"/>
        <v>15</v>
      </c>
      <c r="Y8" t="str">
        <f t="shared" si="6"/>
        <v xml:space="preserve"> </v>
      </c>
      <c r="AB8" t="str">
        <f t="shared" si="7"/>
        <v>SAC PTE-DE LIQ.</v>
      </c>
    </row>
    <row r="9" spans="1:28" x14ac:dyDescent="0.25">
      <c r="A9" s="21">
        <v>5110503</v>
      </c>
      <c r="B9" s="21" t="s">
        <v>28</v>
      </c>
      <c r="C9" s="22">
        <v>5</v>
      </c>
      <c r="D9" s="12">
        <v>161062.64402777774</v>
      </c>
      <c r="E9" s="13"/>
      <c r="F9">
        <v>211404</v>
      </c>
      <c r="G9" t="s">
        <v>14</v>
      </c>
      <c r="H9">
        <v>178</v>
      </c>
      <c r="I9">
        <v>1</v>
      </c>
      <c r="L9">
        <v>88888</v>
      </c>
      <c r="M9" s="1">
        <f t="shared" si="8"/>
        <v>8</v>
      </c>
      <c r="N9" s="2">
        <f t="shared" si="9"/>
        <v>43861</v>
      </c>
      <c r="O9" t="s">
        <v>143</v>
      </c>
      <c r="P9">
        <f t="shared" si="0"/>
        <v>1029</v>
      </c>
      <c r="Q9" s="5">
        <f t="shared" si="1"/>
        <v>5</v>
      </c>
      <c r="R9" s="4">
        <f t="shared" si="2"/>
        <v>57982.551849999996</v>
      </c>
      <c r="T9" s="4">
        <f t="shared" si="3"/>
        <v>0</v>
      </c>
      <c r="U9">
        <f t="shared" si="10"/>
        <v>0</v>
      </c>
      <c r="V9">
        <f t="shared" si="11"/>
        <v>40</v>
      </c>
      <c r="W9" t="str">
        <f t="shared" si="4"/>
        <v xml:space="preserve">CARGAS SOCIALES                         </v>
      </c>
      <c r="X9">
        <f t="shared" si="5"/>
        <v>15</v>
      </c>
      <c r="Y9" t="str">
        <f t="shared" si="6"/>
        <v xml:space="preserve"> </v>
      </c>
      <c r="AB9" t="str">
        <f t="shared" si="7"/>
        <v>CARGAS SOCIALES</v>
      </c>
    </row>
    <row r="10" spans="1:28" x14ac:dyDescent="0.25">
      <c r="A10" s="21">
        <v>5110502</v>
      </c>
      <c r="B10" s="21" t="s">
        <v>27</v>
      </c>
      <c r="C10" s="22">
        <v>5</v>
      </c>
      <c r="D10" s="12">
        <v>57982.551849999996</v>
      </c>
      <c r="E10" s="13"/>
      <c r="F10">
        <v>211406</v>
      </c>
      <c r="G10" t="s">
        <v>15</v>
      </c>
      <c r="H10">
        <v>183</v>
      </c>
      <c r="I10">
        <v>1</v>
      </c>
      <c r="L10">
        <v>88888</v>
      </c>
      <c r="M10" s="1">
        <f t="shared" si="8"/>
        <v>9</v>
      </c>
      <c r="N10" s="2">
        <f t="shared" si="9"/>
        <v>43861</v>
      </c>
      <c r="O10" t="s">
        <v>159</v>
      </c>
      <c r="P10">
        <f t="shared" si="0"/>
        <v>1030</v>
      </c>
      <c r="Q10" s="5">
        <f t="shared" si="1"/>
        <v>6</v>
      </c>
      <c r="R10" s="4">
        <f t="shared" si="2"/>
        <v>51529.706041666665</v>
      </c>
      <c r="T10" s="4">
        <f t="shared" si="3"/>
        <v>0</v>
      </c>
      <c r="U10">
        <f t="shared" si="10"/>
        <v>0</v>
      </c>
      <c r="V10">
        <f t="shared" si="11"/>
        <v>40</v>
      </c>
      <c r="W10" t="str">
        <f t="shared" si="4"/>
        <v xml:space="preserve">SAC PTE-DE LIQ.                         </v>
      </c>
      <c r="X10">
        <f t="shared" si="5"/>
        <v>15</v>
      </c>
      <c r="Y10" t="str">
        <f t="shared" si="6"/>
        <v xml:space="preserve"> </v>
      </c>
      <c r="AB10" t="str">
        <f t="shared" si="7"/>
        <v>SAC PTE-DE LIQ.</v>
      </c>
    </row>
    <row r="11" spans="1:28" x14ac:dyDescent="0.25">
      <c r="A11" s="21">
        <v>5110503</v>
      </c>
      <c r="B11" s="21" t="s">
        <v>28</v>
      </c>
      <c r="C11" s="22">
        <v>6</v>
      </c>
      <c r="D11" s="12">
        <v>51529.706041666665</v>
      </c>
      <c r="E11" s="13"/>
      <c r="F11">
        <v>211407</v>
      </c>
      <c r="G11" t="s">
        <v>16</v>
      </c>
      <c r="H11">
        <v>184</v>
      </c>
      <c r="I11">
        <v>1</v>
      </c>
      <c r="L11">
        <v>88888</v>
      </c>
      <c r="M11" s="1">
        <f t="shared" si="8"/>
        <v>10</v>
      </c>
      <c r="N11" s="2">
        <f t="shared" si="9"/>
        <v>43861</v>
      </c>
      <c r="O11" t="s">
        <v>143</v>
      </c>
      <c r="P11">
        <f t="shared" si="0"/>
        <v>1029</v>
      </c>
      <c r="Q11" s="5">
        <f t="shared" si="1"/>
        <v>6</v>
      </c>
      <c r="R11" s="4">
        <f t="shared" si="2"/>
        <v>18550.694174999997</v>
      </c>
      <c r="T11" s="4">
        <f t="shared" si="3"/>
        <v>0</v>
      </c>
      <c r="U11">
        <f t="shared" si="10"/>
        <v>0</v>
      </c>
      <c r="V11">
        <f t="shared" si="11"/>
        <v>40</v>
      </c>
      <c r="W11" t="str">
        <f t="shared" si="4"/>
        <v xml:space="preserve">CARGAS SOCIALES                         </v>
      </c>
      <c r="X11">
        <f t="shared" si="5"/>
        <v>15</v>
      </c>
      <c r="Y11" t="str">
        <f t="shared" si="6"/>
        <v xml:space="preserve"> </v>
      </c>
      <c r="AB11" t="str">
        <f t="shared" si="7"/>
        <v>CARGAS SOCIALES</v>
      </c>
    </row>
    <row r="12" spans="1:28" x14ac:dyDescent="0.25">
      <c r="A12" s="21">
        <v>5110502</v>
      </c>
      <c r="B12" s="21" t="s">
        <v>27</v>
      </c>
      <c r="C12" s="22">
        <v>6</v>
      </c>
      <c r="D12" s="12">
        <v>18550.694174999997</v>
      </c>
      <c r="E12" s="13"/>
      <c r="F12">
        <v>211408</v>
      </c>
      <c r="G12" t="s">
        <v>17</v>
      </c>
      <c r="H12">
        <v>185</v>
      </c>
      <c r="I12">
        <v>1</v>
      </c>
      <c r="L12">
        <v>88888</v>
      </c>
      <c r="M12" s="1">
        <f t="shared" si="8"/>
        <v>11</v>
      </c>
      <c r="N12" s="2">
        <f t="shared" si="9"/>
        <v>43861</v>
      </c>
      <c r="O12" t="s">
        <v>159</v>
      </c>
      <c r="P12">
        <f t="shared" si="0"/>
        <v>1030</v>
      </c>
      <c r="Q12" s="5">
        <f t="shared" si="1"/>
        <v>7</v>
      </c>
      <c r="R12" s="4">
        <f t="shared" si="2"/>
        <v>17159.664166666666</v>
      </c>
      <c r="T12" s="4">
        <f t="shared" si="3"/>
        <v>0</v>
      </c>
      <c r="U12">
        <f t="shared" si="10"/>
        <v>0</v>
      </c>
      <c r="V12">
        <f t="shared" si="11"/>
        <v>40</v>
      </c>
      <c r="W12" t="str">
        <f t="shared" si="4"/>
        <v xml:space="preserve">SAC PTE-DE LIQ.                         </v>
      </c>
      <c r="X12">
        <f t="shared" si="5"/>
        <v>15</v>
      </c>
      <c r="Y12" t="str">
        <f t="shared" si="6"/>
        <v xml:space="preserve"> </v>
      </c>
      <c r="AB12" t="str">
        <f t="shared" si="7"/>
        <v>SAC PTE-DE LIQ.</v>
      </c>
    </row>
    <row r="13" spans="1:28" x14ac:dyDescent="0.25">
      <c r="A13" s="21">
        <v>5110503</v>
      </c>
      <c r="B13" s="21" t="s">
        <v>28</v>
      </c>
      <c r="C13" s="22">
        <v>7</v>
      </c>
      <c r="D13" s="12">
        <v>17159.664166666666</v>
      </c>
      <c r="E13" s="13"/>
      <c r="F13">
        <v>211409</v>
      </c>
      <c r="G13" t="s">
        <v>18</v>
      </c>
      <c r="H13">
        <v>187</v>
      </c>
      <c r="I13">
        <v>1</v>
      </c>
      <c r="L13">
        <v>88888</v>
      </c>
      <c r="M13" s="1">
        <f t="shared" si="8"/>
        <v>12</v>
      </c>
      <c r="N13" s="2">
        <f t="shared" si="9"/>
        <v>43861</v>
      </c>
      <c r="O13" t="s">
        <v>143</v>
      </c>
      <c r="P13">
        <f t="shared" si="0"/>
        <v>1029</v>
      </c>
      <c r="Q13" s="5">
        <f t="shared" si="1"/>
        <v>7</v>
      </c>
      <c r="R13" s="4">
        <f t="shared" si="2"/>
        <v>6177.4790999999996</v>
      </c>
      <c r="T13" s="4">
        <f t="shared" si="3"/>
        <v>0</v>
      </c>
      <c r="U13">
        <f t="shared" si="10"/>
        <v>0</v>
      </c>
      <c r="V13">
        <f t="shared" si="11"/>
        <v>40</v>
      </c>
      <c r="W13" t="str">
        <f t="shared" si="4"/>
        <v xml:space="preserve">CARGAS SOCIALES                         </v>
      </c>
      <c r="X13">
        <f t="shared" si="5"/>
        <v>15</v>
      </c>
      <c r="Y13" t="str">
        <f t="shared" si="6"/>
        <v xml:space="preserve"> </v>
      </c>
      <c r="AB13" t="str">
        <f t="shared" si="7"/>
        <v>CARGAS SOCIALES</v>
      </c>
    </row>
    <row r="14" spans="1:28" x14ac:dyDescent="0.25">
      <c r="A14" s="21">
        <v>5110502</v>
      </c>
      <c r="B14" s="21" t="s">
        <v>27</v>
      </c>
      <c r="C14" s="22">
        <v>7</v>
      </c>
      <c r="D14" s="12">
        <v>6177.4790999999996</v>
      </c>
      <c r="E14" s="13"/>
      <c r="F14">
        <v>211410</v>
      </c>
      <c r="G14" t="s">
        <v>19</v>
      </c>
      <c r="H14">
        <v>355</v>
      </c>
      <c r="I14">
        <v>1</v>
      </c>
      <c r="L14">
        <v>88888</v>
      </c>
      <c r="M14" s="1">
        <f t="shared" si="8"/>
        <v>13</v>
      </c>
      <c r="N14" s="2">
        <f t="shared" si="9"/>
        <v>43861</v>
      </c>
      <c r="O14" t="s">
        <v>159</v>
      </c>
      <c r="P14">
        <f t="shared" si="0"/>
        <v>1030</v>
      </c>
      <c r="Q14" s="5">
        <f t="shared" si="1"/>
        <v>8</v>
      </c>
      <c r="R14" s="4">
        <f t="shared" si="2"/>
        <v>23869.403333333332</v>
      </c>
      <c r="T14" s="4">
        <f t="shared" si="3"/>
        <v>0</v>
      </c>
      <c r="U14">
        <f t="shared" si="10"/>
        <v>0</v>
      </c>
      <c r="V14">
        <f t="shared" si="11"/>
        <v>40</v>
      </c>
      <c r="W14" t="str">
        <f t="shared" si="4"/>
        <v xml:space="preserve">SAC PTE-DE LIQ.                         </v>
      </c>
      <c r="X14">
        <f t="shared" si="5"/>
        <v>15</v>
      </c>
      <c r="Y14" t="str">
        <f t="shared" si="6"/>
        <v xml:space="preserve"> </v>
      </c>
      <c r="AB14" t="str">
        <f t="shared" si="7"/>
        <v>SAC PTE-DE LIQ.</v>
      </c>
    </row>
    <row r="15" spans="1:28" x14ac:dyDescent="0.25">
      <c r="A15" s="21">
        <v>5110503</v>
      </c>
      <c r="B15" s="21" t="s">
        <v>28</v>
      </c>
      <c r="C15" s="22">
        <v>8</v>
      </c>
      <c r="D15" s="12">
        <v>23869.403333333332</v>
      </c>
      <c r="E15" s="13"/>
      <c r="F15">
        <v>211411</v>
      </c>
      <c r="G15" t="s">
        <v>20</v>
      </c>
      <c r="H15">
        <v>356</v>
      </c>
      <c r="I15">
        <v>1</v>
      </c>
      <c r="L15">
        <v>88888</v>
      </c>
      <c r="M15" s="1">
        <f t="shared" si="8"/>
        <v>14</v>
      </c>
      <c r="N15" s="2">
        <f t="shared" si="9"/>
        <v>43861</v>
      </c>
      <c r="O15" t="s">
        <v>143</v>
      </c>
      <c r="P15">
        <f t="shared" si="0"/>
        <v>1029</v>
      </c>
      <c r="Q15" s="5">
        <f t="shared" si="1"/>
        <v>8</v>
      </c>
      <c r="R15" s="4">
        <f t="shared" si="2"/>
        <v>8592.9851999999992</v>
      </c>
      <c r="T15" s="4">
        <f t="shared" si="3"/>
        <v>0</v>
      </c>
      <c r="U15">
        <f t="shared" si="10"/>
        <v>0</v>
      </c>
      <c r="V15">
        <f t="shared" si="11"/>
        <v>40</v>
      </c>
      <c r="W15" t="str">
        <f t="shared" si="4"/>
        <v xml:space="preserve">CARGAS SOCIALES                         </v>
      </c>
      <c r="X15">
        <f t="shared" si="5"/>
        <v>15</v>
      </c>
      <c r="Y15" t="str">
        <f t="shared" si="6"/>
        <v xml:space="preserve"> </v>
      </c>
      <c r="AB15" t="str">
        <f t="shared" si="7"/>
        <v>CARGAS SOCIALES</v>
      </c>
    </row>
    <row r="16" spans="1:28" x14ac:dyDescent="0.25">
      <c r="A16" s="21">
        <v>5110502</v>
      </c>
      <c r="B16" s="21" t="s">
        <v>27</v>
      </c>
      <c r="C16" s="22">
        <v>8</v>
      </c>
      <c r="D16" s="12">
        <v>8592.9851999999992</v>
      </c>
      <c r="E16" s="13"/>
      <c r="F16">
        <v>211413</v>
      </c>
      <c r="G16" t="s">
        <v>21</v>
      </c>
      <c r="H16">
        <v>1514</v>
      </c>
      <c r="I16">
        <v>1</v>
      </c>
      <c r="L16">
        <v>88888</v>
      </c>
      <c r="M16" s="1">
        <f t="shared" si="8"/>
        <v>15</v>
      </c>
      <c r="N16" s="2">
        <f t="shared" si="9"/>
        <v>43861</v>
      </c>
      <c r="O16" t="s">
        <v>159</v>
      </c>
      <c r="P16">
        <f t="shared" si="0"/>
        <v>1030</v>
      </c>
      <c r="Q16" s="5">
        <f t="shared" si="1"/>
        <v>9</v>
      </c>
      <c r="R16" s="4">
        <f t="shared" si="2"/>
        <v>46702.545000000006</v>
      </c>
      <c r="T16" s="4">
        <f t="shared" si="3"/>
        <v>0</v>
      </c>
      <c r="U16">
        <f t="shared" si="10"/>
        <v>0</v>
      </c>
      <c r="V16">
        <f t="shared" si="11"/>
        <v>40</v>
      </c>
      <c r="W16" t="str">
        <f t="shared" si="4"/>
        <v xml:space="preserve">SAC PTE-DE LIQ.                         </v>
      </c>
      <c r="X16">
        <f t="shared" si="5"/>
        <v>15</v>
      </c>
      <c r="Y16" t="str">
        <f t="shared" si="6"/>
        <v xml:space="preserve"> </v>
      </c>
      <c r="AB16" t="str">
        <f t="shared" si="7"/>
        <v>SAC PTE-DE LIQ.</v>
      </c>
    </row>
    <row r="17" spans="1:28" x14ac:dyDescent="0.25">
      <c r="A17" s="21">
        <v>5110503</v>
      </c>
      <c r="B17" s="21" t="s">
        <v>28</v>
      </c>
      <c r="C17" s="22">
        <v>9</v>
      </c>
      <c r="D17" s="12">
        <v>46702.545000000006</v>
      </c>
      <c r="E17" s="13"/>
      <c r="F17">
        <v>211414</v>
      </c>
      <c r="G17" t="s">
        <v>22</v>
      </c>
      <c r="H17">
        <v>1696</v>
      </c>
      <c r="I17">
        <v>1</v>
      </c>
      <c r="L17">
        <v>88888</v>
      </c>
      <c r="M17" s="1">
        <f t="shared" si="8"/>
        <v>16</v>
      </c>
      <c r="N17" s="2">
        <f t="shared" si="9"/>
        <v>43861</v>
      </c>
      <c r="O17" t="s">
        <v>143</v>
      </c>
      <c r="P17">
        <f t="shared" si="0"/>
        <v>1029</v>
      </c>
      <c r="Q17" s="5">
        <f t="shared" si="1"/>
        <v>9</v>
      </c>
      <c r="R17" s="4">
        <f t="shared" si="2"/>
        <v>16812.9162</v>
      </c>
      <c r="T17" s="4">
        <f t="shared" si="3"/>
        <v>0</v>
      </c>
      <c r="U17">
        <f t="shared" si="10"/>
        <v>0</v>
      </c>
      <c r="V17">
        <f t="shared" si="11"/>
        <v>40</v>
      </c>
      <c r="W17" t="str">
        <f t="shared" si="4"/>
        <v xml:space="preserve">CARGAS SOCIALES                         </v>
      </c>
      <c r="X17">
        <f t="shared" si="5"/>
        <v>15</v>
      </c>
      <c r="Y17" t="str">
        <f t="shared" si="6"/>
        <v xml:space="preserve"> </v>
      </c>
      <c r="AB17" t="str">
        <f t="shared" si="7"/>
        <v>CARGAS SOCIALES</v>
      </c>
    </row>
    <row r="18" spans="1:28" x14ac:dyDescent="0.25">
      <c r="A18" s="21">
        <v>5110502</v>
      </c>
      <c r="B18" s="21" t="s">
        <v>27</v>
      </c>
      <c r="C18" s="22">
        <v>9</v>
      </c>
      <c r="D18" s="12">
        <v>16812.9162</v>
      </c>
      <c r="E18" s="13"/>
      <c r="F18">
        <v>211507</v>
      </c>
      <c r="G18" t="s">
        <v>23</v>
      </c>
      <c r="H18">
        <v>193</v>
      </c>
      <c r="I18">
        <v>1</v>
      </c>
      <c r="L18">
        <v>88888</v>
      </c>
      <c r="M18" s="1">
        <f t="shared" si="8"/>
        <v>17</v>
      </c>
      <c r="N18" s="2">
        <f t="shared" si="9"/>
        <v>43861</v>
      </c>
      <c r="O18" t="s">
        <v>159</v>
      </c>
      <c r="P18">
        <f t="shared" si="0"/>
        <v>1030</v>
      </c>
      <c r="Q18" s="5">
        <f t="shared" si="1"/>
        <v>10</v>
      </c>
      <c r="R18" s="4">
        <f t="shared" si="2"/>
        <v>37755.829999999994</v>
      </c>
      <c r="T18" s="4">
        <f t="shared" si="3"/>
        <v>0</v>
      </c>
      <c r="U18">
        <f t="shared" si="10"/>
        <v>0</v>
      </c>
      <c r="V18">
        <f t="shared" si="11"/>
        <v>40</v>
      </c>
      <c r="W18" t="str">
        <f t="shared" si="4"/>
        <v xml:space="preserve">SAC PTE-DE LIQ.                         </v>
      </c>
      <c r="X18">
        <f t="shared" si="5"/>
        <v>15</v>
      </c>
      <c r="Y18" t="str">
        <f t="shared" si="6"/>
        <v xml:space="preserve"> </v>
      </c>
      <c r="AB18" t="str">
        <f t="shared" si="7"/>
        <v>SAC PTE-DE LIQ.</v>
      </c>
    </row>
    <row r="19" spans="1:28" x14ac:dyDescent="0.25">
      <c r="A19" s="21">
        <v>5110503</v>
      </c>
      <c r="B19" s="21" t="s">
        <v>28</v>
      </c>
      <c r="C19" s="22">
        <v>10</v>
      </c>
      <c r="D19" s="12">
        <v>37755.829999999994</v>
      </c>
      <c r="E19" s="13"/>
      <c r="F19">
        <v>211512</v>
      </c>
      <c r="G19" t="s">
        <v>24</v>
      </c>
      <c r="H19">
        <v>1401</v>
      </c>
      <c r="I19">
        <v>1</v>
      </c>
      <c r="L19">
        <v>88888</v>
      </c>
      <c r="M19" s="1">
        <f t="shared" si="8"/>
        <v>18</v>
      </c>
      <c r="N19" s="2">
        <f t="shared" si="9"/>
        <v>43861</v>
      </c>
      <c r="O19" t="s">
        <v>143</v>
      </c>
      <c r="P19">
        <f t="shared" si="0"/>
        <v>1029</v>
      </c>
      <c r="Q19" s="5">
        <f t="shared" si="1"/>
        <v>10</v>
      </c>
      <c r="R19" s="4">
        <f t="shared" si="2"/>
        <v>13592.098799999998</v>
      </c>
      <c r="T19" s="4">
        <f t="shared" si="3"/>
        <v>0</v>
      </c>
      <c r="U19">
        <f t="shared" si="10"/>
        <v>0</v>
      </c>
      <c r="V19">
        <f t="shared" si="11"/>
        <v>40</v>
      </c>
      <c r="W19" t="str">
        <f t="shared" si="4"/>
        <v xml:space="preserve">CARGAS SOCIALES                         </v>
      </c>
      <c r="X19">
        <f t="shared" si="5"/>
        <v>15</v>
      </c>
      <c r="Y19" t="str">
        <f t="shared" si="6"/>
        <v xml:space="preserve"> </v>
      </c>
      <c r="AB19" t="str">
        <f t="shared" si="7"/>
        <v>CARGAS SOCIALES</v>
      </c>
    </row>
    <row r="20" spans="1:28" x14ac:dyDescent="0.25">
      <c r="A20" s="21">
        <v>5110502</v>
      </c>
      <c r="B20" s="21" t="s">
        <v>27</v>
      </c>
      <c r="C20" s="22">
        <v>10</v>
      </c>
      <c r="D20" s="12">
        <v>13592.098799999998</v>
      </c>
      <c r="E20" s="13"/>
      <c r="F20">
        <v>5110501</v>
      </c>
      <c r="G20" t="s">
        <v>25</v>
      </c>
      <c r="H20">
        <v>1028</v>
      </c>
      <c r="I20" t="s">
        <v>26</v>
      </c>
      <c r="L20">
        <v>88888</v>
      </c>
      <c r="M20" s="1">
        <f t="shared" si="8"/>
        <v>19</v>
      </c>
      <c r="N20" s="2">
        <f t="shared" si="9"/>
        <v>43861</v>
      </c>
      <c r="O20" t="s">
        <v>159</v>
      </c>
      <c r="P20">
        <f t="shared" si="0"/>
        <v>1030</v>
      </c>
      <c r="Q20" s="5">
        <f t="shared" si="1"/>
        <v>11</v>
      </c>
      <c r="R20" s="4">
        <f t="shared" si="2"/>
        <v>72188.052083333328</v>
      </c>
      <c r="T20" s="4">
        <f t="shared" si="3"/>
        <v>0</v>
      </c>
      <c r="U20">
        <f t="shared" si="10"/>
        <v>0</v>
      </c>
      <c r="V20">
        <f t="shared" si="11"/>
        <v>40</v>
      </c>
      <c r="W20" t="str">
        <f t="shared" si="4"/>
        <v xml:space="preserve">SAC PTE-DE LIQ.                         </v>
      </c>
      <c r="X20">
        <f t="shared" si="5"/>
        <v>15</v>
      </c>
      <c r="Y20" t="str">
        <f t="shared" si="6"/>
        <v xml:space="preserve"> </v>
      </c>
      <c r="AB20" t="str">
        <f t="shared" si="7"/>
        <v>SAC PTE-DE LIQ.</v>
      </c>
    </row>
    <row r="21" spans="1:28" x14ac:dyDescent="0.25">
      <c r="A21" s="21">
        <v>5110503</v>
      </c>
      <c r="B21" s="21" t="s">
        <v>28</v>
      </c>
      <c r="C21" s="22">
        <v>11</v>
      </c>
      <c r="D21" s="12">
        <v>72188.052083333328</v>
      </c>
      <c r="E21" s="13"/>
      <c r="F21">
        <v>5110502</v>
      </c>
      <c r="G21" t="s">
        <v>27</v>
      </c>
      <c r="H21">
        <v>1029</v>
      </c>
      <c r="I21" t="s">
        <v>26</v>
      </c>
      <c r="L21">
        <v>88888</v>
      </c>
      <c r="M21" s="1">
        <f t="shared" ref="M21:M62" si="12">+M20+1</f>
        <v>20</v>
      </c>
      <c r="N21" s="2">
        <f t="shared" ref="N21:N62" si="13">+A$1</f>
        <v>43861</v>
      </c>
      <c r="O21" t="s">
        <v>143</v>
      </c>
      <c r="P21">
        <f t="shared" si="0"/>
        <v>1029</v>
      </c>
      <c r="Q21" s="5">
        <f t="shared" ref="Q21:Q62" si="14">+C22</f>
        <v>11</v>
      </c>
      <c r="R21" s="4">
        <f t="shared" ref="R21:R62" si="15">+D22</f>
        <v>25987.69875</v>
      </c>
      <c r="T21" s="4">
        <f t="shared" ref="T21:T62" si="16">+E22</f>
        <v>0</v>
      </c>
      <c r="U21">
        <f t="shared" ref="U21:U62" si="17">LEN(S21)</f>
        <v>0</v>
      </c>
      <c r="V21">
        <f t="shared" ref="V21:V62" si="18">LEN(O21)</f>
        <v>40</v>
      </c>
      <c r="W21" t="str">
        <f t="shared" ref="W21:W62" si="19">AB21 &amp; REPT(" ",(40-X21))</f>
        <v xml:space="preserve">CARGAS SOCIALES                         </v>
      </c>
      <c r="X21">
        <f t="shared" ref="X21:X62" si="20">LEN(AB21)</f>
        <v>15</v>
      </c>
      <c r="Y21" t="str">
        <f t="shared" ref="Y21:Y62" si="21">S21 &amp; REPT(" ",(1-U21))</f>
        <v xml:space="preserve"> </v>
      </c>
      <c r="AB21" t="str">
        <f t="shared" si="7"/>
        <v>CARGAS SOCIALES</v>
      </c>
    </row>
    <row r="22" spans="1:28" x14ac:dyDescent="0.25">
      <c r="A22" s="21">
        <v>5110502</v>
      </c>
      <c r="B22" s="21" t="s">
        <v>27</v>
      </c>
      <c r="C22" s="22">
        <v>11</v>
      </c>
      <c r="D22" s="12">
        <v>25987.69875</v>
      </c>
      <c r="E22" s="13"/>
      <c r="F22">
        <v>5110503</v>
      </c>
      <c r="G22" t="s">
        <v>28</v>
      </c>
      <c r="H22">
        <v>1030</v>
      </c>
      <c r="I22">
        <v>1</v>
      </c>
      <c r="L22">
        <v>88888</v>
      </c>
      <c r="M22" s="1">
        <f t="shared" si="12"/>
        <v>21</v>
      </c>
      <c r="N22" s="2">
        <f t="shared" si="13"/>
        <v>43861</v>
      </c>
      <c r="O22" t="s">
        <v>159</v>
      </c>
      <c r="P22">
        <f t="shared" si="0"/>
        <v>1030</v>
      </c>
      <c r="Q22" s="5">
        <f t="shared" si="14"/>
        <v>12</v>
      </c>
      <c r="R22" s="4">
        <f t="shared" si="15"/>
        <v>12563.074166666667</v>
      </c>
      <c r="T22" s="4">
        <f t="shared" si="16"/>
        <v>0</v>
      </c>
      <c r="U22">
        <f t="shared" si="17"/>
        <v>0</v>
      </c>
      <c r="V22">
        <f t="shared" si="18"/>
        <v>40</v>
      </c>
      <c r="W22" t="str">
        <f t="shared" si="19"/>
        <v xml:space="preserve">SAC PTE-DE LIQ.                         </v>
      </c>
      <c r="X22">
        <f t="shared" si="20"/>
        <v>15</v>
      </c>
      <c r="Y22" t="str">
        <f t="shared" si="21"/>
        <v xml:space="preserve"> </v>
      </c>
      <c r="AB22" t="str">
        <f t="shared" si="7"/>
        <v>SAC PTE-DE LIQ.</v>
      </c>
    </row>
    <row r="23" spans="1:28" x14ac:dyDescent="0.25">
      <c r="A23" s="21">
        <v>5110503</v>
      </c>
      <c r="B23" s="21" t="s">
        <v>28</v>
      </c>
      <c r="C23" s="22">
        <v>12</v>
      </c>
      <c r="D23" s="12">
        <v>12563.074166666667</v>
      </c>
      <c r="E23" s="13"/>
      <c r="F23">
        <v>5110504</v>
      </c>
      <c r="G23" t="s">
        <v>29</v>
      </c>
      <c r="H23">
        <v>1031</v>
      </c>
      <c r="I23">
        <v>1</v>
      </c>
      <c r="L23">
        <v>88888</v>
      </c>
      <c r="M23" s="1">
        <f t="shared" si="12"/>
        <v>22</v>
      </c>
      <c r="N23" s="2">
        <f t="shared" si="13"/>
        <v>43861</v>
      </c>
      <c r="O23" t="s">
        <v>143</v>
      </c>
      <c r="P23">
        <f t="shared" si="0"/>
        <v>1029</v>
      </c>
      <c r="Q23" s="5">
        <f t="shared" si="14"/>
        <v>12</v>
      </c>
      <c r="R23" s="4">
        <f t="shared" si="15"/>
        <v>4522.7067000000006</v>
      </c>
      <c r="T23" s="4">
        <f t="shared" si="16"/>
        <v>0</v>
      </c>
      <c r="U23">
        <f t="shared" si="17"/>
        <v>0</v>
      </c>
      <c r="V23">
        <f t="shared" si="18"/>
        <v>40</v>
      </c>
      <c r="W23" t="str">
        <f t="shared" si="19"/>
        <v xml:space="preserve">CARGAS SOCIALES                         </v>
      </c>
      <c r="X23">
        <f t="shared" si="20"/>
        <v>15</v>
      </c>
      <c r="Y23" t="str">
        <f t="shared" si="21"/>
        <v xml:space="preserve"> </v>
      </c>
      <c r="AB23" t="str">
        <f t="shared" si="7"/>
        <v>CARGAS SOCIALES</v>
      </c>
    </row>
    <row r="24" spans="1:28" x14ac:dyDescent="0.25">
      <c r="A24" s="21">
        <v>5110502</v>
      </c>
      <c r="B24" s="21" t="s">
        <v>27</v>
      </c>
      <c r="C24" s="22">
        <v>12</v>
      </c>
      <c r="D24" s="12">
        <v>4522.7067000000006</v>
      </c>
      <c r="E24" s="13"/>
      <c r="F24">
        <v>5110505</v>
      </c>
      <c r="G24" t="s">
        <v>30</v>
      </c>
      <c r="H24">
        <v>1032</v>
      </c>
      <c r="I24">
        <v>1</v>
      </c>
      <c r="L24">
        <v>88888</v>
      </c>
      <c r="M24" s="1">
        <f t="shared" si="12"/>
        <v>23</v>
      </c>
      <c r="N24" s="2">
        <f t="shared" si="13"/>
        <v>43861</v>
      </c>
      <c r="O24" t="s">
        <v>159</v>
      </c>
      <c r="P24">
        <f t="shared" si="0"/>
        <v>1030</v>
      </c>
      <c r="Q24" s="5">
        <f t="shared" si="14"/>
        <v>14</v>
      </c>
      <c r="R24" s="4">
        <f t="shared" si="15"/>
        <v>16541.191666666666</v>
      </c>
      <c r="T24" s="4">
        <f t="shared" si="16"/>
        <v>0</v>
      </c>
      <c r="U24">
        <f t="shared" si="17"/>
        <v>0</v>
      </c>
      <c r="V24">
        <f t="shared" si="18"/>
        <v>40</v>
      </c>
      <c r="W24" t="str">
        <f t="shared" si="19"/>
        <v xml:space="preserve">SAC PTE-DE LIQ.                         </v>
      </c>
      <c r="X24">
        <f t="shared" si="20"/>
        <v>15</v>
      </c>
      <c r="Y24" t="str">
        <f t="shared" si="21"/>
        <v xml:space="preserve"> </v>
      </c>
      <c r="AB24" t="str">
        <f t="shared" si="7"/>
        <v>SAC PTE-DE LIQ.</v>
      </c>
    </row>
    <row r="25" spans="1:28" x14ac:dyDescent="0.25">
      <c r="A25" s="21">
        <v>5110503</v>
      </c>
      <c r="B25" s="21" t="s">
        <v>28</v>
      </c>
      <c r="C25" s="22">
        <v>14</v>
      </c>
      <c r="D25" s="12">
        <v>16541.191666666666</v>
      </c>
      <c r="E25" s="13"/>
      <c r="F25">
        <v>5110506</v>
      </c>
      <c r="G25" t="s">
        <v>31</v>
      </c>
      <c r="H25">
        <v>1033</v>
      </c>
      <c r="I25">
        <v>1</v>
      </c>
      <c r="L25">
        <v>88888</v>
      </c>
      <c r="M25" s="1">
        <f t="shared" si="12"/>
        <v>24</v>
      </c>
      <c r="N25" s="2">
        <f t="shared" si="13"/>
        <v>43861</v>
      </c>
      <c r="O25" t="s">
        <v>143</v>
      </c>
      <c r="P25">
        <f t="shared" si="0"/>
        <v>1029</v>
      </c>
      <c r="Q25" s="5">
        <f t="shared" si="14"/>
        <v>14</v>
      </c>
      <c r="R25" s="4">
        <f t="shared" si="15"/>
        <v>5954.8289999999997</v>
      </c>
      <c r="T25" s="4">
        <f t="shared" si="16"/>
        <v>0</v>
      </c>
      <c r="U25">
        <f t="shared" si="17"/>
        <v>0</v>
      </c>
      <c r="V25">
        <f t="shared" si="18"/>
        <v>40</v>
      </c>
      <c r="W25" t="str">
        <f t="shared" si="19"/>
        <v xml:space="preserve">CARGAS SOCIALES                         </v>
      </c>
      <c r="X25">
        <f t="shared" si="20"/>
        <v>15</v>
      </c>
      <c r="Y25" t="str">
        <f t="shared" si="21"/>
        <v xml:space="preserve"> </v>
      </c>
      <c r="AB25" t="str">
        <f t="shared" si="7"/>
        <v>CARGAS SOCIALES</v>
      </c>
    </row>
    <row r="26" spans="1:28" x14ac:dyDescent="0.25">
      <c r="A26" s="21">
        <v>5110502</v>
      </c>
      <c r="B26" s="21" t="s">
        <v>27</v>
      </c>
      <c r="C26" s="22">
        <v>14</v>
      </c>
      <c r="D26" s="12">
        <v>5954.8289999999997</v>
      </c>
      <c r="E26" s="13"/>
      <c r="F26">
        <v>5110507</v>
      </c>
      <c r="G26" t="s">
        <v>0</v>
      </c>
      <c r="H26">
        <v>1034</v>
      </c>
      <c r="I26">
        <v>1</v>
      </c>
      <c r="L26">
        <v>88888</v>
      </c>
      <c r="M26" s="1">
        <f t="shared" si="12"/>
        <v>25</v>
      </c>
      <c r="N26" s="2">
        <f t="shared" si="13"/>
        <v>43861</v>
      </c>
      <c r="O26" t="s">
        <v>159</v>
      </c>
      <c r="P26">
        <f t="shared" si="0"/>
        <v>1030</v>
      </c>
      <c r="Q26" s="5">
        <f t="shared" si="14"/>
        <v>15</v>
      </c>
      <c r="R26" s="4">
        <f t="shared" si="15"/>
        <v>56146.594236111123</v>
      </c>
      <c r="T26" s="4">
        <f t="shared" si="16"/>
        <v>0</v>
      </c>
      <c r="U26">
        <f t="shared" si="17"/>
        <v>0</v>
      </c>
      <c r="V26">
        <f t="shared" si="18"/>
        <v>40</v>
      </c>
      <c r="W26" t="str">
        <f t="shared" si="19"/>
        <v xml:space="preserve">SAC PTE-DE LIQ.                         </v>
      </c>
      <c r="X26">
        <f t="shared" si="20"/>
        <v>15</v>
      </c>
      <c r="Y26" t="str">
        <f t="shared" si="21"/>
        <v xml:space="preserve"> </v>
      </c>
      <c r="AB26" t="str">
        <f t="shared" si="7"/>
        <v>SAC PTE-DE LIQ.</v>
      </c>
    </row>
    <row r="27" spans="1:28" x14ac:dyDescent="0.25">
      <c r="A27" s="21">
        <v>5110503</v>
      </c>
      <c r="B27" s="21" t="s">
        <v>28</v>
      </c>
      <c r="C27" s="22">
        <v>15</v>
      </c>
      <c r="D27" s="12">
        <v>56146.594236111123</v>
      </c>
      <c r="E27" s="13"/>
      <c r="F27">
        <v>5110513</v>
      </c>
      <c r="G27" t="s">
        <v>153</v>
      </c>
      <c r="H27">
        <v>2032</v>
      </c>
      <c r="I27">
        <v>1</v>
      </c>
      <c r="L27">
        <v>88888</v>
      </c>
      <c r="M27" s="1">
        <f t="shared" si="12"/>
        <v>26</v>
      </c>
      <c r="N27" s="2">
        <f t="shared" si="13"/>
        <v>43861</v>
      </c>
      <c r="O27" t="s">
        <v>143</v>
      </c>
      <c r="P27">
        <f t="shared" si="0"/>
        <v>1029</v>
      </c>
      <c r="Q27" s="5">
        <f t="shared" si="14"/>
        <v>15</v>
      </c>
      <c r="R27" s="4">
        <f t="shared" si="15"/>
        <v>20212.773925000001</v>
      </c>
      <c r="T27" s="4">
        <f t="shared" si="16"/>
        <v>0</v>
      </c>
      <c r="U27">
        <f t="shared" si="17"/>
        <v>0</v>
      </c>
      <c r="V27">
        <f t="shared" si="18"/>
        <v>40</v>
      </c>
      <c r="W27" t="str">
        <f t="shared" si="19"/>
        <v xml:space="preserve">CARGAS SOCIALES                         </v>
      </c>
      <c r="X27">
        <f t="shared" si="20"/>
        <v>15</v>
      </c>
      <c r="Y27" t="str">
        <f t="shared" si="21"/>
        <v xml:space="preserve"> </v>
      </c>
      <c r="AB27" t="str">
        <f t="shared" si="7"/>
        <v>CARGAS SOCIALES</v>
      </c>
    </row>
    <row r="28" spans="1:28" x14ac:dyDescent="0.25">
      <c r="A28" s="21">
        <v>5110502</v>
      </c>
      <c r="B28" s="21" t="s">
        <v>27</v>
      </c>
      <c r="C28" s="22">
        <v>15</v>
      </c>
      <c r="D28" s="12">
        <v>20212.773925000001</v>
      </c>
      <c r="E28" s="13"/>
      <c r="F28">
        <v>5110514</v>
      </c>
      <c r="G28" t="s">
        <v>154</v>
      </c>
      <c r="H28">
        <v>2033</v>
      </c>
      <c r="I28">
        <v>1</v>
      </c>
      <c r="L28">
        <v>88888</v>
      </c>
      <c r="M28" s="1">
        <f t="shared" si="12"/>
        <v>27</v>
      </c>
      <c r="N28" s="2">
        <f t="shared" si="13"/>
        <v>43861</v>
      </c>
      <c r="O28" t="s">
        <v>159</v>
      </c>
      <c r="P28">
        <f t="shared" si="0"/>
        <v>1030</v>
      </c>
      <c r="Q28" s="5">
        <f t="shared" si="14"/>
        <v>16</v>
      </c>
      <c r="R28" s="4">
        <f t="shared" si="15"/>
        <v>12606.600833333332</v>
      </c>
      <c r="T28" s="4">
        <f t="shared" si="16"/>
        <v>0</v>
      </c>
      <c r="U28">
        <f t="shared" si="17"/>
        <v>0</v>
      </c>
      <c r="V28">
        <f t="shared" si="18"/>
        <v>40</v>
      </c>
      <c r="W28" t="str">
        <f t="shared" si="19"/>
        <v xml:space="preserve">SAC PTE-DE LIQ.                         </v>
      </c>
      <c r="X28">
        <f t="shared" si="20"/>
        <v>15</v>
      </c>
      <c r="Y28" t="str">
        <f t="shared" si="21"/>
        <v xml:space="preserve"> </v>
      </c>
      <c r="AB28" t="str">
        <f t="shared" si="7"/>
        <v>SAC PTE-DE LIQ.</v>
      </c>
    </row>
    <row r="29" spans="1:28" x14ac:dyDescent="0.25">
      <c r="A29" s="21">
        <v>5110503</v>
      </c>
      <c r="B29" s="21" t="s">
        <v>28</v>
      </c>
      <c r="C29" s="22">
        <v>16</v>
      </c>
      <c r="D29" s="12">
        <v>12606.600833333332</v>
      </c>
      <c r="E29" s="13"/>
      <c r="F29">
        <v>5110515</v>
      </c>
      <c r="G29" t="s">
        <v>155</v>
      </c>
      <c r="H29">
        <v>2034</v>
      </c>
      <c r="I29">
        <v>1</v>
      </c>
      <c r="L29">
        <v>88888</v>
      </c>
      <c r="M29" s="1">
        <f t="shared" si="12"/>
        <v>28</v>
      </c>
      <c r="N29" s="2">
        <f t="shared" si="13"/>
        <v>43861</v>
      </c>
      <c r="O29" t="s">
        <v>143</v>
      </c>
      <c r="P29">
        <f t="shared" si="0"/>
        <v>1029</v>
      </c>
      <c r="Q29" s="5">
        <f t="shared" si="14"/>
        <v>16</v>
      </c>
      <c r="R29" s="4">
        <f t="shared" si="15"/>
        <v>4538.376299999999</v>
      </c>
      <c r="T29" s="4">
        <f t="shared" si="16"/>
        <v>0</v>
      </c>
      <c r="U29">
        <f t="shared" si="17"/>
        <v>0</v>
      </c>
      <c r="V29">
        <f t="shared" si="18"/>
        <v>40</v>
      </c>
      <c r="W29" t="str">
        <f t="shared" si="19"/>
        <v xml:space="preserve">CARGAS SOCIALES                         </v>
      </c>
      <c r="X29">
        <f t="shared" si="20"/>
        <v>15</v>
      </c>
      <c r="Y29" t="str">
        <f t="shared" si="21"/>
        <v xml:space="preserve"> </v>
      </c>
      <c r="AB29" t="str">
        <f t="shared" si="7"/>
        <v>CARGAS SOCIALES</v>
      </c>
    </row>
    <row r="30" spans="1:28" x14ac:dyDescent="0.25">
      <c r="A30" s="21">
        <v>5110502</v>
      </c>
      <c r="B30" s="21" t="s">
        <v>27</v>
      </c>
      <c r="C30" s="22">
        <v>16</v>
      </c>
      <c r="D30" s="12">
        <v>4538.376299999999</v>
      </c>
      <c r="E30" s="13"/>
      <c r="F30">
        <v>5110516</v>
      </c>
      <c r="G30" t="s">
        <v>156</v>
      </c>
      <c r="H30">
        <v>2035</v>
      </c>
      <c r="I30">
        <v>1</v>
      </c>
      <c r="L30">
        <v>88888</v>
      </c>
      <c r="M30" s="1">
        <f t="shared" si="12"/>
        <v>29</v>
      </c>
      <c r="N30" s="2">
        <f t="shared" si="13"/>
        <v>43861</v>
      </c>
      <c r="O30" t="s">
        <v>159</v>
      </c>
      <c r="P30">
        <f t="shared" si="0"/>
        <v>1030</v>
      </c>
      <c r="Q30" s="5">
        <f t="shared" si="14"/>
        <v>17</v>
      </c>
      <c r="R30" s="4">
        <f t="shared" si="15"/>
        <v>59285.579166666663</v>
      </c>
      <c r="T30" s="4">
        <f t="shared" si="16"/>
        <v>0</v>
      </c>
      <c r="U30">
        <f t="shared" si="17"/>
        <v>0</v>
      </c>
      <c r="V30">
        <f t="shared" si="18"/>
        <v>40</v>
      </c>
      <c r="W30" t="str">
        <f t="shared" si="19"/>
        <v xml:space="preserve">SAC PTE-DE LIQ.                         </v>
      </c>
      <c r="X30">
        <f t="shared" si="20"/>
        <v>15</v>
      </c>
      <c r="Y30" t="str">
        <f t="shared" si="21"/>
        <v xml:space="preserve"> </v>
      </c>
      <c r="AB30" t="str">
        <f t="shared" si="7"/>
        <v>SAC PTE-DE LIQ.</v>
      </c>
    </row>
    <row r="31" spans="1:28" x14ac:dyDescent="0.25">
      <c r="A31" s="21">
        <v>5110503</v>
      </c>
      <c r="B31" s="21" t="s">
        <v>28</v>
      </c>
      <c r="C31" s="22">
        <v>17</v>
      </c>
      <c r="D31" s="12">
        <v>59285.579166666663</v>
      </c>
      <c r="E31" s="13"/>
      <c r="F31">
        <v>5111501</v>
      </c>
      <c r="G31" t="s">
        <v>32</v>
      </c>
      <c r="H31">
        <v>1081</v>
      </c>
      <c r="I31" t="s">
        <v>26</v>
      </c>
      <c r="L31">
        <v>88888</v>
      </c>
      <c r="M31" s="1">
        <f t="shared" si="12"/>
        <v>30</v>
      </c>
      <c r="N31" s="2">
        <f t="shared" si="13"/>
        <v>43861</v>
      </c>
      <c r="O31" t="s">
        <v>143</v>
      </c>
      <c r="P31">
        <f t="shared" si="0"/>
        <v>1029</v>
      </c>
      <c r="Q31" s="5">
        <f t="shared" si="14"/>
        <v>17</v>
      </c>
      <c r="R31" s="4">
        <f t="shared" si="15"/>
        <v>21342.808499999999</v>
      </c>
      <c r="T31" s="4">
        <f t="shared" si="16"/>
        <v>0</v>
      </c>
      <c r="U31">
        <f t="shared" si="17"/>
        <v>0</v>
      </c>
      <c r="V31">
        <f t="shared" si="18"/>
        <v>40</v>
      </c>
      <c r="W31" t="str">
        <f t="shared" si="19"/>
        <v xml:space="preserve">CARGAS SOCIALES                         </v>
      </c>
      <c r="X31">
        <f t="shared" si="20"/>
        <v>15</v>
      </c>
      <c r="Y31" t="str">
        <f t="shared" si="21"/>
        <v xml:space="preserve"> </v>
      </c>
      <c r="AB31" t="str">
        <f t="shared" si="7"/>
        <v>CARGAS SOCIALES</v>
      </c>
    </row>
    <row r="32" spans="1:28" x14ac:dyDescent="0.25">
      <c r="A32" s="21">
        <v>5110502</v>
      </c>
      <c r="B32" s="21" t="s">
        <v>27</v>
      </c>
      <c r="C32" s="22">
        <v>17</v>
      </c>
      <c r="D32" s="12">
        <v>21342.808499999999</v>
      </c>
      <c r="E32" s="13"/>
      <c r="F32">
        <v>11110301</v>
      </c>
      <c r="G32" t="s">
        <v>152</v>
      </c>
      <c r="H32">
        <v>32</v>
      </c>
      <c r="I32">
        <v>1</v>
      </c>
      <c r="L32">
        <v>88888</v>
      </c>
      <c r="M32" s="1">
        <f t="shared" si="12"/>
        <v>31</v>
      </c>
      <c r="N32" s="2">
        <f t="shared" si="13"/>
        <v>43861</v>
      </c>
      <c r="O32" t="s">
        <v>159</v>
      </c>
      <c r="P32">
        <f t="shared" si="0"/>
        <v>1030</v>
      </c>
      <c r="Q32" s="5">
        <f t="shared" si="14"/>
        <v>18</v>
      </c>
      <c r="R32" s="4">
        <f t="shared" si="15"/>
        <v>171254.95250000001</v>
      </c>
      <c r="T32" s="4">
        <f t="shared" si="16"/>
        <v>0</v>
      </c>
      <c r="U32">
        <f t="shared" si="17"/>
        <v>0</v>
      </c>
      <c r="V32">
        <f t="shared" si="18"/>
        <v>40</v>
      </c>
      <c r="W32" t="str">
        <f t="shared" si="19"/>
        <v xml:space="preserve">SAC PTE-DE LIQ.                         </v>
      </c>
      <c r="X32">
        <f t="shared" si="20"/>
        <v>15</v>
      </c>
      <c r="Y32" t="str">
        <f t="shared" si="21"/>
        <v xml:space="preserve"> </v>
      </c>
      <c r="AB32" t="str">
        <f t="shared" si="7"/>
        <v>SAC PTE-DE LIQ.</v>
      </c>
    </row>
    <row r="33" spans="1:28" x14ac:dyDescent="0.25">
      <c r="A33" s="21">
        <v>5110503</v>
      </c>
      <c r="B33" s="21" t="s">
        <v>28</v>
      </c>
      <c r="C33" s="22">
        <v>18</v>
      </c>
      <c r="D33" s="12">
        <v>171254.95250000001</v>
      </c>
      <c r="E33" s="13"/>
      <c r="F33">
        <v>11110302</v>
      </c>
      <c r="G33" t="s">
        <v>33</v>
      </c>
      <c r="H33">
        <v>216</v>
      </c>
      <c r="I33">
        <v>1</v>
      </c>
      <c r="L33">
        <v>88888</v>
      </c>
      <c r="M33" s="1">
        <f t="shared" si="12"/>
        <v>32</v>
      </c>
      <c r="N33" s="2">
        <f t="shared" si="13"/>
        <v>43861</v>
      </c>
      <c r="O33" t="s">
        <v>143</v>
      </c>
      <c r="P33">
        <f t="shared" si="0"/>
        <v>1029</v>
      </c>
      <c r="Q33" s="5">
        <f t="shared" si="14"/>
        <v>18</v>
      </c>
      <c r="R33" s="4">
        <f t="shared" si="15"/>
        <v>61651.782899999998</v>
      </c>
      <c r="T33" s="4">
        <f t="shared" si="16"/>
        <v>0</v>
      </c>
      <c r="U33">
        <f t="shared" si="17"/>
        <v>0</v>
      </c>
      <c r="V33">
        <f t="shared" si="18"/>
        <v>40</v>
      </c>
      <c r="W33" t="str">
        <f t="shared" si="19"/>
        <v xml:space="preserve">CARGAS SOCIALES                         </v>
      </c>
      <c r="X33">
        <f t="shared" si="20"/>
        <v>15</v>
      </c>
      <c r="Y33" t="str">
        <f t="shared" si="21"/>
        <v xml:space="preserve"> </v>
      </c>
      <c r="AB33" t="str">
        <f t="shared" si="7"/>
        <v>CARGAS SOCIALES</v>
      </c>
    </row>
    <row r="34" spans="1:28" x14ac:dyDescent="0.25">
      <c r="A34" s="21">
        <v>5110502</v>
      </c>
      <c r="B34" s="21" t="s">
        <v>27</v>
      </c>
      <c r="C34" s="22">
        <v>18</v>
      </c>
      <c r="D34" s="12">
        <v>61651.782899999998</v>
      </c>
      <c r="E34" s="13"/>
      <c r="F34">
        <v>11110303</v>
      </c>
      <c r="G34" t="s">
        <v>34</v>
      </c>
      <c r="H34">
        <v>217</v>
      </c>
      <c r="I34">
        <v>1</v>
      </c>
      <c r="L34">
        <v>88888</v>
      </c>
      <c r="M34" s="1">
        <f t="shared" si="12"/>
        <v>33</v>
      </c>
      <c r="N34" s="2">
        <f t="shared" si="13"/>
        <v>43861</v>
      </c>
      <c r="O34" t="s">
        <v>159</v>
      </c>
      <c r="P34">
        <f t="shared" si="0"/>
        <v>1030</v>
      </c>
      <c r="Q34" s="5">
        <f t="shared" si="14"/>
        <v>19</v>
      </c>
      <c r="R34" s="4">
        <f t="shared" si="15"/>
        <v>11035.4925</v>
      </c>
      <c r="T34" s="4">
        <f t="shared" si="16"/>
        <v>0</v>
      </c>
      <c r="U34">
        <f t="shared" si="17"/>
        <v>0</v>
      </c>
      <c r="V34">
        <f t="shared" si="18"/>
        <v>40</v>
      </c>
      <c r="W34" t="str">
        <f t="shared" si="19"/>
        <v xml:space="preserve">SAC PTE-DE LIQ.                         </v>
      </c>
      <c r="X34">
        <f t="shared" si="20"/>
        <v>15</v>
      </c>
      <c r="Y34" t="str">
        <f t="shared" si="21"/>
        <v xml:space="preserve"> </v>
      </c>
      <c r="AB34" t="str">
        <f t="shared" si="7"/>
        <v>SAC PTE-DE LIQ.</v>
      </c>
    </row>
    <row r="35" spans="1:28" x14ac:dyDescent="0.25">
      <c r="A35" s="21">
        <v>5110503</v>
      </c>
      <c r="B35" s="21" t="s">
        <v>28</v>
      </c>
      <c r="C35" s="22">
        <v>19</v>
      </c>
      <c r="D35" s="12">
        <v>11035.4925</v>
      </c>
      <c r="E35" s="13"/>
      <c r="F35">
        <v>11110304</v>
      </c>
      <c r="G35" t="s">
        <v>35</v>
      </c>
      <c r="H35">
        <v>218</v>
      </c>
      <c r="I35">
        <v>1</v>
      </c>
      <c r="L35">
        <v>88888</v>
      </c>
      <c r="M35" s="1">
        <f t="shared" si="12"/>
        <v>34</v>
      </c>
      <c r="N35" s="2">
        <f t="shared" si="13"/>
        <v>43861</v>
      </c>
      <c r="O35" t="s">
        <v>143</v>
      </c>
      <c r="P35">
        <f t="shared" si="0"/>
        <v>1029</v>
      </c>
      <c r="Q35" s="5">
        <f t="shared" si="14"/>
        <v>19</v>
      </c>
      <c r="R35" s="4">
        <f t="shared" si="15"/>
        <v>3972.7772999999997</v>
      </c>
      <c r="T35" s="4">
        <f t="shared" si="16"/>
        <v>0</v>
      </c>
      <c r="U35">
        <f t="shared" si="17"/>
        <v>0</v>
      </c>
      <c r="V35">
        <f t="shared" si="18"/>
        <v>40</v>
      </c>
      <c r="W35" t="str">
        <f t="shared" si="19"/>
        <v xml:space="preserve">CARGAS SOCIALES                         </v>
      </c>
      <c r="X35">
        <f t="shared" si="20"/>
        <v>15</v>
      </c>
      <c r="Y35" t="str">
        <f t="shared" si="21"/>
        <v xml:space="preserve"> </v>
      </c>
      <c r="AB35" t="str">
        <f t="shared" si="7"/>
        <v>CARGAS SOCIALES</v>
      </c>
    </row>
    <row r="36" spans="1:28" x14ac:dyDescent="0.25">
      <c r="A36" s="21">
        <v>5110502</v>
      </c>
      <c r="B36" s="21" t="s">
        <v>27</v>
      </c>
      <c r="C36" s="22">
        <v>19</v>
      </c>
      <c r="D36" s="12">
        <v>3972.7772999999997</v>
      </c>
      <c r="E36" s="13"/>
      <c r="F36">
        <v>11110305</v>
      </c>
      <c r="G36" t="s">
        <v>36</v>
      </c>
      <c r="H36">
        <v>219</v>
      </c>
      <c r="I36">
        <v>1</v>
      </c>
      <c r="L36">
        <v>88888</v>
      </c>
      <c r="M36" s="1">
        <f t="shared" si="12"/>
        <v>35</v>
      </c>
      <c r="N36" s="2">
        <f t="shared" si="13"/>
        <v>43861</v>
      </c>
      <c r="O36" t="s">
        <v>159</v>
      </c>
      <c r="P36">
        <f t="shared" si="0"/>
        <v>1030</v>
      </c>
      <c r="Q36" s="5">
        <f t="shared" si="14"/>
        <v>20</v>
      </c>
      <c r="R36" s="4">
        <f t="shared" si="15"/>
        <v>62191.344166666662</v>
      </c>
      <c r="T36" s="4">
        <f t="shared" si="16"/>
        <v>0</v>
      </c>
      <c r="U36">
        <f t="shared" si="17"/>
        <v>0</v>
      </c>
      <c r="V36">
        <f t="shared" si="18"/>
        <v>40</v>
      </c>
      <c r="W36" t="str">
        <f t="shared" si="19"/>
        <v xml:space="preserve">SAC PTE-DE LIQ.                         </v>
      </c>
      <c r="X36">
        <f t="shared" si="20"/>
        <v>15</v>
      </c>
      <c r="Y36" t="str">
        <f t="shared" si="21"/>
        <v xml:space="preserve"> </v>
      </c>
      <c r="AB36" t="str">
        <f t="shared" si="7"/>
        <v>SAC PTE-DE LIQ.</v>
      </c>
    </row>
    <row r="37" spans="1:28" x14ac:dyDescent="0.25">
      <c r="A37" s="21">
        <v>5110503</v>
      </c>
      <c r="B37" s="21" t="s">
        <v>28</v>
      </c>
      <c r="C37" s="22">
        <v>20</v>
      </c>
      <c r="D37" s="12">
        <v>62191.344166666662</v>
      </c>
      <c r="E37" s="13"/>
      <c r="F37">
        <v>11110306</v>
      </c>
      <c r="G37" t="s">
        <v>37</v>
      </c>
      <c r="H37">
        <v>220</v>
      </c>
      <c r="I37">
        <v>1</v>
      </c>
      <c r="L37">
        <v>88888</v>
      </c>
      <c r="M37" s="1">
        <f t="shared" si="12"/>
        <v>36</v>
      </c>
      <c r="N37" s="2">
        <f t="shared" si="13"/>
        <v>43861</v>
      </c>
      <c r="O37" t="s">
        <v>143</v>
      </c>
      <c r="P37">
        <f t="shared" si="0"/>
        <v>1029</v>
      </c>
      <c r="Q37" s="5">
        <f t="shared" si="14"/>
        <v>20</v>
      </c>
      <c r="R37" s="4">
        <f t="shared" si="15"/>
        <v>22388.883900000004</v>
      </c>
      <c r="T37" s="4">
        <f t="shared" si="16"/>
        <v>0</v>
      </c>
      <c r="U37">
        <f t="shared" si="17"/>
        <v>0</v>
      </c>
      <c r="V37">
        <f t="shared" si="18"/>
        <v>40</v>
      </c>
      <c r="W37" t="str">
        <f t="shared" si="19"/>
        <v xml:space="preserve">CARGAS SOCIALES                         </v>
      </c>
      <c r="X37">
        <f t="shared" si="20"/>
        <v>15</v>
      </c>
      <c r="Y37" t="str">
        <f t="shared" si="21"/>
        <v xml:space="preserve"> </v>
      </c>
      <c r="AB37" t="str">
        <f t="shared" si="7"/>
        <v>CARGAS SOCIALES</v>
      </c>
    </row>
    <row r="38" spans="1:28" x14ac:dyDescent="0.25">
      <c r="A38" s="21">
        <v>5110502</v>
      </c>
      <c r="B38" s="21" t="s">
        <v>27</v>
      </c>
      <c r="C38" s="22">
        <v>20</v>
      </c>
      <c r="D38" s="12">
        <v>22388.883900000004</v>
      </c>
      <c r="E38" s="13"/>
      <c r="F38">
        <v>11110307</v>
      </c>
      <c r="G38" t="s">
        <v>38</v>
      </c>
      <c r="H38">
        <v>221</v>
      </c>
      <c r="I38">
        <v>1</v>
      </c>
      <c r="L38">
        <v>88888</v>
      </c>
      <c r="M38" s="1">
        <f t="shared" si="12"/>
        <v>37</v>
      </c>
      <c r="N38" s="2">
        <f t="shared" si="13"/>
        <v>43861</v>
      </c>
      <c r="O38" t="s">
        <v>159</v>
      </c>
      <c r="P38">
        <f t="shared" si="0"/>
        <v>1030</v>
      </c>
      <c r="Q38" s="5">
        <f t="shared" si="14"/>
        <v>21</v>
      </c>
      <c r="R38" s="4">
        <f t="shared" si="15"/>
        <v>100622.37666666666</v>
      </c>
      <c r="T38" s="4">
        <f t="shared" si="16"/>
        <v>0</v>
      </c>
      <c r="U38">
        <f t="shared" si="17"/>
        <v>0</v>
      </c>
      <c r="V38">
        <f t="shared" si="18"/>
        <v>40</v>
      </c>
      <c r="W38" t="str">
        <f t="shared" si="19"/>
        <v xml:space="preserve">SAC PTE-DE LIQ.                         </v>
      </c>
      <c r="X38">
        <f t="shared" si="20"/>
        <v>15</v>
      </c>
      <c r="Y38" t="str">
        <f t="shared" si="21"/>
        <v xml:space="preserve"> </v>
      </c>
      <c r="AB38" t="str">
        <f t="shared" si="7"/>
        <v>SAC PTE-DE LIQ.</v>
      </c>
    </row>
    <row r="39" spans="1:28" x14ac:dyDescent="0.25">
      <c r="A39" s="21">
        <v>5110503</v>
      </c>
      <c r="B39" s="21" t="s">
        <v>28</v>
      </c>
      <c r="C39" s="22">
        <v>21</v>
      </c>
      <c r="D39" s="12">
        <v>100622.37666666666</v>
      </c>
      <c r="E39" s="13"/>
      <c r="F39">
        <v>11110308</v>
      </c>
      <c r="G39" t="s">
        <v>39</v>
      </c>
      <c r="H39">
        <v>222</v>
      </c>
      <c r="I39">
        <v>1</v>
      </c>
      <c r="L39">
        <v>88888</v>
      </c>
      <c r="M39" s="1">
        <f t="shared" si="12"/>
        <v>38</v>
      </c>
      <c r="N39" s="2">
        <f t="shared" si="13"/>
        <v>43861</v>
      </c>
      <c r="O39" t="s">
        <v>143</v>
      </c>
      <c r="P39">
        <f t="shared" si="0"/>
        <v>1029</v>
      </c>
      <c r="Q39" s="5">
        <f t="shared" si="14"/>
        <v>21</v>
      </c>
      <c r="R39" s="4">
        <f t="shared" si="15"/>
        <v>36224.0556</v>
      </c>
      <c r="T39" s="4">
        <f t="shared" si="16"/>
        <v>0</v>
      </c>
      <c r="U39">
        <f t="shared" si="17"/>
        <v>0</v>
      </c>
      <c r="V39">
        <f t="shared" si="18"/>
        <v>40</v>
      </c>
      <c r="W39" t="str">
        <f t="shared" si="19"/>
        <v xml:space="preserve">CARGAS SOCIALES                         </v>
      </c>
      <c r="X39">
        <f t="shared" si="20"/>
        <v>15</v>
      </c>
      <c r="Y39" t="str">
        <f t="shared" si="21"/>
        <v xml:space="preserve"> </v>
      </c>
      <c r="AB39" t="str">
        <f t="shared" si="7"/>
        <v>CARGAS SOCIALES</v>
      </c>
    </row>
    <row r="40" spans="1:28" x14ac:dyDescent="0.25">
      <c r="A40" s="21">
        <v>5110502</v>
      </c>
      <c r="B40" s="21" t="s">
        <v>27</v>
      </c>
      <c r="C40" s="22">
        <v>21</v>
      </c>
      <c r="D40" s="12">
        <v>36224.0556</v>
      </c>
      <c r="E40" s="13"/>
      <c r="F40">
        <v>11110309</v>
      </c>
      <c r="G40" t="s">
        <v>40</v>
      </c>
      <c r="H40">
        <v>223</v>
      </c>
      <c r="I40">
        <v>1</v>
      </c>
      <c r="L40">
        <v>88888</v>
      </c>
      <c r="M40" s="1">
        <f t="shared" si="12"/>
        <v>39</v>
      </c>
      <c r="N40" s="2">
        <f t="shared" si="13"/>
        <v>43861</v>
      </c>
      <c r="O40" t="s">
        <v>159</v>
      </c>
      <c r="P40">
        <f t="shared" si="0"/>
        <v>1030</v>
      </c>
      <c r="Q40" s="5">
        <f t="shared" si="14"/>
        <v>22</v>
      </c>
      <c r="R40" s="4">
        <f t="shared" si="15"/>
        <v>130688.40833333333</v>
      </c>
      <c r="T40" s="4">
        <f t="shared" si="16"/>
        <v>0</v>
      </c>
      <c r="U40">
        <f t="shared" si="17"/>
        <v>0</v>
      </c>
      <c r="V40">
        <f t="shared" si="18"/>
        <v>40</v>
      </c>
      <c r="W40" t="str">
        <f t="shared" si="19"/>
        <v xml:space="preserve">SAC PTE-DE LIQ.                         </v>
      </c>
      <c r="X40">
        <f t="shared" si="20"/>
        <v>15</v>
      </c>
      <c r="Y40" t="str">
        <f t="shared" si="21"/>
        <v xml:space="preserve"> </v>
      </c>
      <c r="AB40" t="str">
        <f t="shared" si="7"/>
        <v>SAC PTE-DE LIQ.</v>
      </c>
    </row>
    <row r="41" spans="1:28" x14ac:dyDescent="0.25">
      <c r="A41" s="21">
        <v>5110503</v>
      </c>
      <c r="B41" s="21" t="s">
        <v>28</v>
      </c>
      <c r="C41" s="22">
        <v>22</v>
      </c>
      <c r="D41" s="12">
        <v>130688.40833333333</v>
      </c>
      <c r="E41" s="13"/>
      <c r="F41">
        <v>11110310</v>
      </c>
      <c r="G41" t="s">
        <v>40</v>
      </c>
      <c r="H41">
        <v>224</v>
      </c>
      <c r="I41">
        <v>1</v>
      </c>
      <c r="L41">
        <v>88888</v>
      </c>
      <c r="M41" s="1">
        <f t="shared" si="12"/>
        <v>40</v>
      </c>
      <c r="N41" s="2">
        <f t="shared" si="13"/>
        <v>43861</v>
      </c>
      <c r="O41" t="s">
        <v>143</v>
      </c>
      <c r="P41">
        <f t="shared" si="0"/>
        <v>1029</v>
      </c>
      <c r="Q41" s="5">
        <f t="shared" si="14"/>
        <v>22</v>
      </c>
      <c r="R41" s="4">
        <f t="shared" si="15"/>
        <v>47047.827000000005</v>
      </c>
      <c r="T41" s="4">
        <f t="shared" si="16"/>
        <v>0</v>
      </c>
      <c r="U41">
        <f t="shared" si="17"/>
        <v>0</v>
      </c>
      <c r="V41">
        <f t="shared" si="18"/>
        <v>40</v>
      </c>
      <c r="W41" t="str">
        <f t="shared" si="19"/>
        <v xml:space="preserve">CARGAS SOCIALES                         </v>
      </c>
      <c r="X41">
        <f t="shared" si="20"/>
        <v>15</v>
      </c>
      <c r="Y41" t="str">
        <f t="shared" si="21"/>
        <v xml:space="preserve"> </v>
      </c>
      <c r="AB41" t="str">
        <f t="shared" si="7"/>
        <v>CARGAS SOCIALES</v>
      </c>
    </row>
    <row r="42" spans="1:28" x14ac:dyDescent="0.25">
      <c r="A42" s="21">
        <v>5110502</v>
      </c>
      <c r="B42" s="21" t="s">
        <v>27</v>
      </c>
      <c r="C42" s="22">
        <v>22</v>
      </c>
      <c r="D42" s="12">
        <v>47047.827000000005</v>
      </c>
      <c r="E42" s="13"/>
      <c r="F42">
        <v>11110311</v>
      </c>
      <c r="G42" t="s">
        <v>41</v>
      </c>
      <c r="H42">
        <v>225</v>
      </c>
      <c r="I42">
        <v>1</v>
      </c>
      <c r="L42">
        <v>88888</v>
      </c>
      <c r="M42" s="1">
        <f t="shared" si="12"/>
        <v>41</v>
      </c>
      <c r="N42" s="2">
        <f t="shared" si="13"/>
        <v>43861</v>
      </c>
      <c r="O42" t="s">
        <v>159</v>
      </c>
      <c r="P42">
        <f t="shared" si="0"/>
        <v>1030</v>
      </c>
      <c r="Q42" s="5">
        <f t="shared" si="14"/>
        <v>23</v>
      </c>
      <c r="R42" s="4">
        <f t="shared" si="15"/>
        <v>48991.663333333338</v>
      </c>
      <c r="T42" s="4">
        <f t="shared" si="16"/>
        <v>0</v>
      </c>
      <c r="U42">
        <f t="shared" si="17"/>
        <v>0</v>
      </c>
      <c r="V42">
        <f t="shared" si="18"/>
        <v>40</v>
      </c>
      <c r="W42" t="str">
        <f t="shared" si="19"/>
        <v xml:space="preserve">SAC PTE-DE LIQ.                         </v>
      </c>
      <c r="X42">
        <f t="shared" si="20"/>
        <v>15</v>
      </c>
      <c r="Y42" t="str">
        <f t="shared" si="21"/>
        <v xml:space="preserve"> </v>
      </c>
      <c r="AB42" t="str">
        <f t="shared" si="7"/>
        <v>SAC PTE-DE LIQ.</v>
      </c>
    </row>
    <row r="43" spans="1:28" x14ac:dyDescent="0.25">
      <c r="A43" s="21">
        <v>5110503</v>
      </c>
      <c r="B43" s="21" t="s">
        <v>28</v>
      </c>
      <c r="C43" s="22">
        <v>23</v>
      </c>
      <c r="D43" s="12">
        <v>48991.663333333338</v>
      </c>
      <c r="E43" s="13"/>
      <c r="F43">
        <v>11110312</v>
      </c>
      <c r="G43" t="s">
        <v>42</v>
      </c>
      <c r="H43">
        <v>226</v>
      </c>
      <c r="I43">
        <v>1</v>
      </c>
      <c r="L43">
        <v>88888</v>
      </c>
      <c r="M43" s="1">
        <f t="shared" si="12"/>
        <v>42</v>
      </c>
      <c r="N43" s="2">
        <f t="shared" si="13"/>
        <v>43861</v>
      </c>
      <c r="O43" t="s">
        <v>143</v>
      </c>
      <c r="P43">
        <f t="shared" si="0"/>
        <v>1029</v>
      </c>
      <c r="Q43" s="5">
        <f t="shared" si="14"/>
        <v>23</v>
      </c>
      <c r="R43" s="4">
        <f t="shared" si="15"/>
        <v>17636.998800000001</v>
      </c>
      <c r="T43" s="4">
        <f t="shared" si="16"/>
        <v>0</v>
      </c>
      <c r="U43">
        <f t="shared" si="17"/>
        <v>0</v>
      </c>
      <c r="V43">
        <f t="shared" si="18"/>
        <v>40</v>
      </c>
      <c r="W43" t="str">
        <f t="shared" si="19"/>
        <v xml:space="preserve">CARGAS SOCIALES                         </v>
      </c>
      <c r="X43">
        <f t="shared" si="20"/>
        <v>15</v>
      </c>
      <c r="Y43" t="str">
        <f t="shared" si="21"/>
        <v xml:space="preserve"> </v>
      </c>
      <c r="AB43" t="str">
        <f t="shared" si="7"/>
        <v>CARGAS SOCIALES</v>
      </c>
    </row>
    <row r="44" spans="1:28" x14ac:dyDescent="0.25">
      <c r="A44" s="21">
        <v>5110502</v>
      </c>
      <c r="B44" s="21" t="s">
        <v>27</v>
      </c>
      <c r="C44" s="22">
        <v>23</v>
      </c>
      <c r="D44" s="12">
        <v>17636.998800000001</v>
      </c>
      <c r="E44" s="13"/>
      <c r="F44">
        <v>11110313</v>
      </c>
      <c r="G44" t="s">
        <v>43</v>
      </c>
      <c r="H44">
        <v>227</v>
      </c>
      <c r="I44">
        <v>1</v>
      </c>
      <c r="L44">
        <v>88888</v>
      </c>
      <c r="M44" s="1">
        <f t="shared" si="12"/>
        <v>43</v>
      </c>
      <c r="N44" s="2">
        <f t="shared" si="13"/>
        <v>43861</v>
      </c>
      <c r="O44" t="s">
        <v>159</v>
      </c>
      <c r="P44">
        <f t="shared" si="0"/>
        <v>1030</v>
      </c>
      <c r="Q44" s="5">
        <f t="shared" si="14"/>
        <v>24</v>
      </c>
      <c r="R44" s="4">
        <f t="shared" si="15"/>
        <v>100576.78833333333</v>
      </c>
      <c r="T44" s="4">
        <f t="shared" si="16"/>
        <v>0</v>
      </c>
      <c r="U44">
        <f t="shared" si="17"/>
        <v>0</v>
      </c>
      <c r="V44">
        <f t="shared" si="18"/>
        <v>40</v>
      </c>
      <c r="W44" t="str">
        <f t="shared" si="19"/>
        <v xml:space="preserve">SAC PTE-DE LIQ.                         </v>
      </c>
      <c r="X44">
        <f t="shared" si="20"/>
        <v>15</v>
      </c>
      <c r="Y44" t="str">
        <f t="shared" si="21"/>
        <v xml:space="preserve"> </v>
      </c>
      <c r="AB44" t="str">
        <f t="shared" si="7"/>
        <v>SAC PTE-DE LIQ.</v>
      </c>
    </row>
    <row r="45" spans="1:28" x14ac:dyDescent="0.25">
      <c r="A45" s="21">
        <v>5110503</v>
      </c>
      <c r="B45" s="21" t="s">
        <v>28</v>
      </c>
      <c r="C45" s="22">
        <v>24</v>
      </c>
      <c r="D45" s="12">
        <v>100576.78833333333</v>
      </c>
      <c r="E45" s="13"/>
      <c r="F45">
        <v>11110314</v>
      </c>
      <c r="G45" t="s">
        <v>44</v>
      </c>
      <c r="H45">
        <v>228</v>
      </c>
      <c r="I45">
        <v>1</v>
      </c>
      <c r="L45">
        <v>88888</v>
      </c>
      <c r="M45" s="1">
        <f t="shared" si="12"/>
        <v>44</v>
      </c>
      <c r="N45" s="2">
        <f t="shared" si="13"/>
        <v>43861</v>
      </c>
      <c r="O45" t="s">
        <v>143</v>
      </c>
      <c r="P45">
        <f t="shared" si="0"/>
        <v>1029</v>
      </c>
      <c r="Q45" s="5">
        <f t="shared" si="14"/>
        <v>24</v>
      </c>
      <c r="R45" s="4">
        <f t="shared" si="15"/>
        <v>36207.643799999991</v>
      </c>
      <c r="T45" s="4">
        <f t="shared" si="16"/>
        <v>0</v>
      </c>
      <c r="U45">
        <f t="shared" si="17"/>
        <v>0</v>
      </c>
      <c r="V45">
        <f t="shared" si="18"/>
        <v>40</v>
      </c>
      <c r="W45" t="str">
        <f t="shared" si="19"/>
        <v xml:space="preserve">CARGAS SOCIALES                         </v>
      </c>
      <c r="X45">
        <f t="shared" si="20"/>
        <v>15</v>
      </c>
      <c r="Y45" t="str">
        <f t="shared" si="21"/>
        <v xml:space="preserve"> </v>
      </c>
      <c r="AB45" t="str">
        <f t="shared" si="7"/>
        <v>CARGAS SOCIALES</v>
      </c>
    </row>
    <row r="46" spans="1:28" x14ac:dyDescent="0.25">
      <c r="A46" s="21">
        <v>5110502</v>
      </c>
      <c r="B46" s="21" t="s">
        <v>27</v>
      </c>
      <c r="C46" s="11">
        <v>24</v>
      </c>
      <c r="D46" s="12">
        <v>36207.643799999991</v>
      </c>
      <c r="E46" s="13"/>
      <c r="F46">
        <v>11110315</v>
      </c>
      <c r="G46" t="s">
        <v>45</v>
      </c>
      <c r="H46">
        <v>229</v>
      </c>
      <c r="I46">
        <v>1</v>
      </c>
      <c r="L46">
        <v>88888</v>
      </c>
      <c r="M46" s="1">
        <f t="shared" si="12"/>
        <v>45</v>
      </c>
      <c r="N46" s="2">
        <f t="shared" si="13"/>
        <v>43861</v>
      </c>
      <c r="O46" t="s">
        <v>159</v>
      </c>
      <c r="P46">
        <f t="shared" si="0"/>
        <v>1030</v>
      </c>
      <c r="Q46" s="5">
        <f t="shared" si="14"/>
        <v>25</v>
      </c>
      <c r="R46" s="4">
        <f t="shared" si="15"/>
        <v>19406.285833333335</v>
      </c>
      <c r="T46" s="4">
        <f t="shared" si="16"/>
        <v>0</v>
      </c>
      <c r="U46">
        <f t="shared" si="17"/>
        <v>0</v>
      </c>
      <c r="V46">
        <f t="shared" si="18"/>
        <v>40</v>
      </c>
      <c r="W46" t="str">
        <f t="shared" si="19"/>
        <v xml:space="preserve">SAC PTE-DE LIQ.                         </v>
      </c>
      <c r="X46">
        <f t="shared" si="20"/>
        <v>15</v>
      </c>
      <c r="Y46" t="str">
        <f t="shared" si="21"/>
        <v xml:space="preserve"> </v>
      </c>
      <c r="AB46" t="str">
        <f t="shared" si="7"/>
        <v>SAC PTE-DE LIQ.</v>
      </c>
    </row>
    <row r="47" spans="1:28" x14ac:dyDescent="0.25">
      <c r="A47" s="21">
        <v>5110503</v>
      </c>
      <c r="B47" s="21" t="s">
        <v>28</v>
      </c>
      <c r="C47" s="11">
        <v>25</v>
      </c>
      <c r="D47" s="12">
        <v>19406.285833333335</v>
      </c>
      <c r="E47" s="13"/>
      <c r="F47">
        <v>11110316</v>
      </c>
      <c r="G47" t="s">
        <v>46</v>
      </c>
      <c r="H47">
        <v>1409</v>
      </c>
      <c r="I47">
        <v>1</v>
      </c>
      <c r="L47">
        <v>88888</v>
      </c>
      <c r="M47" s="1">
        <f t="shared" si="12"/>
        <v>46</v>
      </c>
      <c r="N47" s="2">
        <f t="shared" si="13"/>
        <v>43861</v>
      </c>
      <c r="O47" t="s">
        <v>143</v>
      </c>
      <c r="P47">
        <f t="shared" si="0"/>
        <v>1029</v>
      </c>
      <c r="Q47" s="5">
        <f t="shared" si="14"/>
        <v>25</v>
      </c>
      <c r="R47" s="4">
        <f t="shared" si="15"/>
        <v>6986.2628999999997</v>
      </c>
      <c r="T47" s="4">
        <f t="shared" si="16"/>
        <v>0</v>
      </c>
      <c r="U47">
        <f t="shared" si="17"/>
        <v>0</v>
      </c>
      <c r="V47">
        <f t="shared" si="18"/>
        <v>40</v>
      </c>
      <c r="W47" t="str">
        <f t="shared" si="19"/>
        <v xml:space="preserve">CARGAS SOCIALES                         </v>
      </c>
      <c r="X47">
        <f t="shared" si="20"/>
        <v>15</v>
      </c>
      <c r="Y47" t="str">
        <f t="shared" si="21"/>
        <v xml:space="preserve"> </v>
      </c>
      <c r="AB47" t="str">
        <f t="shared" si="7"/>
        <v>CARGAS SOCIALES</v>
      </c>
    </row>
    <row r="48" spans="1:28" x14ac:dyDescent="0.25">
      <c r="A48" s="21">
        <v>5110502</v>
      </c>
      <c r="B48" s="21" t="s">
        <v>27</v>
      </c>
      <c r="C48" s="11">
        <v>25</v>
      </c>
      <c r="D48" s="12">
        <v>6986.2628999999997</v>
      </c>
      <c r="E48" s="13"/>
      <c r="F48">
        <v>11110317</v>
      </c>
      <c r="G48" t="s">
        <v>47</v>
      </c>
      <c r="H48">
        <v>1457</v>
      </c>
      <c r="I48">
        <v>1</v>
      </c>
      <c r="L48">
        <v>88888</v>
      </c>
      <c r="M48" s="1">
        <f t="shared" si="12"/>
        <v>47</v>
      </c>
      <c r="N48" s="2">
        <f t="shared" si="13"/>
        <v>43861</v>
      </c>
      <c r="O48" t="s">
        <v>159</v>
      </c>
      <c r="P48">
        <f t="shared" si="0"/>
        <v>1030</v>
      </c>
      <c r="Q48" s="5">
        <f t="shared" si="14"/>
        <v>27</v>
      </c>
      <c r="R48" s="4">
        <f t="shared" si="15"/>
        <v>51156.287500000006</v>
      </c>
      <c r="T48" s="4">
        <f t="shared" si="16"/>
        <v>0</v>
      </c>
      <c r="U48">
        <f t="shared" si="17"/>
        <v>0</v>
      </c>
      <c r="V48">
        <f t="shared" si="18"/>
        <v>40</v>
      </c>
      <c r="W48" t="str">
        <f t="shared" si="19"/>
        <v xml:space="preserve">SAC PTE-DE LIQ.                         </v>
      </c>
      <c r="X48">
        <f t="shared" si="20"/>
        <v>15</v>
      </c>
      <c r="Y48" t="str">
        <f t="shared" si="21"/>
        <v xml:space="preserve"> </v>
      </c>
      <c r="AB48" t="str">
        <f t="shared" si="7"/>
        <v>SAC PTE-DE LIQ.</v>
      </c>
    </row>
    <row r="49" spans="1:28" x14ac:dyDescent="0.25">
      <c r="A49" s="21">
        <v>5110503</v>
      </c>
      <c r="B49" s="21" t="s">
        <v>28</v>
      </c>
      <c r="C49" s="11">
        <v>27</v>
      </c>
      <c r="D49" s="12">
        <v>51156.287500000006</v>
      </c>
      <c r="E49" s="13"/>
      <c r="F49">
        <v>11110318</v>
      </c>
      <c r="G49" t="s">
        <v>48</v>
      </c>
      <c r="H49">
        <v>1500</v>
      </c>
      <c r="I49">
        <v>1</v>
      </c>
      <c r="L49">
        <v>88888</v>
      </c>
      <c r="M49" s="1">
        <f t="shared" si="12"/>
        <v>48</v>
      </c>
      <c r="N49" s="2">
        <f t="shared" si="13"/>
        <v>43861</v>
      </c>
      <c r="O49" t="s">
        <v>143</v>
      </c>
      <c r="P49">
        <f t="shared" si="0"/>
        <v>1029</v>
      </c>
      <c r="Q49" s="5">
        <f t="shared" si="14"/>
        <v>27</v>
      </c>
      <c r="R49" s="4">
        <f t="shared" si="15"/>
        <v>18416.263500000001</v>
      </c>
      <c r="T49" s="4">
        <f t="shared" si="16"/>
        <v>0</v>
      </c>
      <c r="U49">
        <f t="shared" si="17"/>
        <v>0</v>
      </c>
      <c r="V49">
        <f t="shared" si="18"/>
        <v>40</v>
      </c>
      <c r="W49" t="str">
        <f t="shared" si="19"/>
        <v xml:space="preserve">CARGAS SOCIALES                         </v>
      </c>
      <c r="X49">
        <f t="shared" si="20"/>
        <v>15</v>
      </c>
      <c r="Y49" t="str">
        <f t="shared" si="21"/>
        <v xml:space="preserve"> </v>
      </c>
      <c r="AB49" t="str">
        <f t="shared" si="7"/>
        <v>CARGAS SOCIALES</v>
      </c>
    </row>
    <row r="50" spans="1:28" x14ac:dyDescent="0.25">
      <c r="A50" s="21">
        <v>5110502</v>
      </c>
      <c r="B50" s="21" t="s">
        <v>27</v>
      </c>
      <c r="C50" s="11">
        <v>27</v>
      </c>
      <c r="D50" s="12">
        <v>18416.263500000001</v>
      </c>
      <c r="E50" s="13"/>
      <c r="F50">
        <v>11110319</v>
      </c>
      <c r="G50" t="s">
        <v>49</v>
      </c>
      <c r="H50">
        <v>1541</v>
      </c>
      <c r="I50">
        <v>1</v>
      </c>
      <c r="L50">
        <v>88888</v>
      </c>
      <c r="M50" s="1">
        <f t="shared" si="12"/>
        <v>49</v>
      </c>
      <c r="N50" s="2">
        <f t="shared" si="13"/>
        <v>43861</v>
      </c>
      <c r="O50" t="s">
        <v>159</v>
      </c>
      <c r="P50">
        <f t="shared" si="0"/>
        <v>1030</v>
      </c>
      <c r="Q50" s="5">
        <f t="shared" si="14"/>
        <v>28</v>
      </c>
      <c r="R50" s="4">
        <f t="shared" si="15"/>
        <v>113589.42833333333</v>
      </c>
      <c r="T50" s="4">
        <f t="shared" si="16"/>
        <v>0</v>
      </c>
      <c r="U50">
        <f t="shared" si="17"/>
        <v>0</v>
      </c>
      <c r="V50">
        <f t="shared" si="18"/>
        <v>40</v>
      </c>
      <c r="W50" t="str">
        <f t="shared" si="19"/>
        <v xml:space="preserve">SAC PTE-DE LIQ.                         </v>
      </c>
      <c r="X50">
        <f t="shared" si="20"/>
        <v>15</v>
      </c>
      <c r="Y50" t="str">
        <f t="shared" si="21"/>
        <v xml:space="preserve"> </v>
      </c>
      <c r="AB50" t="str">
        <f t="shared" si="7"/>
        <v>SAC PTE-DE LIQ.</v>
      </c>
    </row>
    <row r="51" spans="1:28" x14ac:dyDescent="0.25">
      <c r="A51" s="21">
        <v>5110503</v>
      </c>
      <c r="B51" s="21" t="s">
        <v>28</v>
      </c>
      <c r="C51" s="11">
        <v>28</v>
      </c>
      <c r="D51" s="12">
        <v>113589.42833333333</v>
      </c>
      <c r="E51" s="13"/>
      <c r="F51">
        <v>11110320</v>
      </c>
      <c r="G51" t="s">
        <v>50</v>
      </c>
      <c r="H51">
        <v>1590</v>
      </c>
      <c r="I51">
        <v>1</v>
      </c>
      <c r="L51">
        <v>88888</v>
      </c>
      <c r="M51" s="1">
        <f t="shared" si="12"/>
        <v>50</v>
      </c>
      <c r="N51" s="2">
        <f t="shared" si="13"/>
        <v>43861</v>
      </c>
      <c r="O51" t="s">
        <v>143</v>
      </c>
      <c r="P51">
        <f t="shared" si="0"/>
        <v>1029</v>
      </c>
      <c r="Q51" s="5">
        <f t="shared" si="14"/>
        <v>28</v>
      </c>
      <c r="R51" s="4">
        <f t="shared" si="15"/>
        <v>40892.194199999998</v>
      </c>
      <c r="T51" s="4">
        <f t="shared" si="16"/>
        <v>0</v>
      </c>
      <c r="U51">
        <f t="shared" si="17"/>
        <v>0</v>
      </c>
      <c r="V51">
        <f t="shared" si="18"/>
        <v>40</v>
      </c>
      <c r="W51" t="str">
        <f t="shared" si="19"/>
        <v xml:space="preserve">CARGAS SOCIALES                         </v>
      </c>
      <c r="X51">
        <f t="shared" si="20"/>
        <v>15</v>
      </c>
      <c r="Y51" t="str">
        <f t="shared" si="21"/>
        <v xml:space="preserve"> </v>
      </c>
      <c r="AB51" t="str">
        <f t="shared" si="7"/>
        <v>CARGAS SOCIALES</v>
      </c>
    </row>
    <row r="52" spans="1:28" x14ac:dyDescent="0.25">
      <c r="A52" s="21">
        <v>5110502</v>
      </c>
      <c r="B52" s="21" t="s">
        <v>27</v>
      </c>
      <c r="C52" s="11">
        <v>28</v>
      </c>
      <c r="D52" s="12">
        <v>40892.194199999998</v>
      </c>
      <c r="E52" s="13"/>
      <c r="F52">
        <v>11110321</v>
      </c>
      <c r="G52" t="s">
        <v>51</v>
      </c>
      <c r="H52">
        <v>1611</v>
      </c>
      <c r="I52">
        <v>1</v>
      </c>
      <c r="L52">
        <v>88888</v>
      </c>
      <c r="M52" s="1">
        <f t="shared" si="12"/>
        <v>51</v>
      </c>
      <c r="N52" s="2">
        <f t="shared" si="13"/>
        <v>43861</v>
      </c>
      <c r="O52" t="s">
        <v>159</v>
      </c>
      <c r="P52">
        <f t="shared" si="0"/>
        <v>1030</v>
      </c>
      <c r="Q52" s="5">
        <f t="shared" si="14"/>
        <v>29</v>
      </c>
      <c r="R52" s="4">
        <f t="shared" si="15"/>
        <v>21620.654166666667</v>
      </c>
      <c r="T52" s="4">
        <f t="shared" si="16"/>
        <v>0</v>
      </c>
      <c r="U52">
        <f t="shared" si="17"/>
        <v>0</v>
      </c>
      <c r="V52">
        <f t="shared" si="18"/>
        <v>40</v>
      </c>
      <c r="W52" t="str">
        <f t="shared" si="19"/>
        <v xml:space="preserve">SAC PTE-DE LIQ.                         </v>
      </c>
      <c r="X52">
        <f t="shared" si="20"/>
        <v>15</v>
      </c>
      <c r="Y52" t="str">
        <f t="shared" si="21"/>
        <v xml:space="preserve"> </v>
      </c>
      <c r="AB52" t="str">
        <f t="shared" si="7"/>
        <v>SAC PTE-DE LIQ.</v>
      </c>
    </row>
    <row r="53" spans="1:28" x14ac:dyDescent="0.25">
      <c r="A53" s="21">
        <v>5110503</v>
      </c>
      <c r="B53" s="21" t="s">
        <v>28</v>
      </c>
      <c r="C53" s="11">
        <v>29</v>
      </c>
      <c r="D53" s="12">
        <v>21620.654166666667</v>
      </c>
      <c r="E53" s="13"/>
      <c r="F53">
        <v>11110323</v>
      </c>
      <c r="G53" t="s">
        <v>52</v>
      </c>
      <c r="H53">
        <v>1817</v>
      </c>
      <c r="I53">
        <v>1</v>
      </c>
      <c r="L53">
        <v>88888</v>
      </c>
      <c r="M53" s="1">
        <f t="shared" si="12"/>
        <v>52</v>
      </c>
      <c r="N53" s="2">
        <f t="shared" si="13"/>
        <v>43861</v>
      </c>
      <c r="O53" t="s">
        <v>143</v>
      </c>
      <c r="P53">
        <f t="shared" si="0"/>
        <v>1029</v>
      </c>
      <c r="Q53" s="5">
        <f t="shared" si="14"/>
        <v>29</v>
      </c>
      <c r="R53" s="4">
        <f t="shared" si="15"/>
        <v>7783.4354999999996</v>
      </c>
      <c r="T53" s="4">
        <f t="shared" si="16"/>
        <v>0</v>
      </c>
      <c r="U53">
        <f t="shared" si="17"/>
        <v>0</v>
      </c>
      <c r="V53">
        <f t="shared" si="18"/>
        <v>40</v>
      </c>
      <c r="W53" t="str">
        <f t="shared" si="19"/>
        <v xml:space="preserve">CARGAS SOCIALES                         </v>
      </c>
      <c r="X53">
        <f t="shared" si="20"/>
        <v>15</v>
      </c>
      <c r="Y53" t="str">
        <f t="shared" si="21"/>
        <v xml:space="preserve"> </v>
      </c>
      <c r="AB53" t="str">
        <f t="shared" si="7"/>
        <v>CARGAS SOCIALES</v>
      </c>
    </row>
    <row r="54" spans="1:28" x14ac:dyDescent="0.25">
      <c r="A54" s="21">
        <v>5110502</v>
      </c>
      <c r="B54" s="21" t="s">
        <v>27</v>
      </c>
      <c r="C54" s="11">
        <v>29</v>
      </c>
      <c r="D54" s="12">
        <v>7783.4354999999996</v>
      </c>
      <c r="E54" s="13"/>
      <c r="F54">
        <v>11321412</v>
      </c>
      <c r="G54" t="s">
        <v>53</v>
      </c>
      <c r="H54">
        <v>302</v>
      </c>
      <c r="I54">
        <v>1</v>
      </c>
      <c r="L54">
        <v>88888</v>
      </c>
      <c r="M54" s="1">
        <f t="shared" si="12"/>
        <v>53</v>
      </c>
      <c r="N54" s="2">
        <f t="shared" si="13"/>
        <v>43861</v>
      </c>
      <c r="O54" t="s">
        <v>159</v>
      </c>
      <c r="P54">
        <f t="shared" si="0"/>
        <v>1030</v>
      </c>
      <c r="Q54" s="5">
        <f t="shared" si="14"/>
        <v>30</v>
      </c>
      <c r="R54" s="4">
        <f t="shared" si="15"/>
        <v>17744.7575</v>
      </c>
      <c r="T54" s="4">
        <f t="shared" si="16"/>
        <v>0</v>
      </c>
      <c r="U54">
        <f t="shared" si="17"/>
        <v>0</v>
      </c>
      <c r="V54">
        <f t="shared" si="18"/>
        <v>40</v>
      </c>
      <c r="W54" t="str">
        <f t="shared" si="19"/>
        <v xml:space="preserve">SAC PTE-DE LIQ.                         </v>
      </c>
      <c r="X54">
        <f t="shared" si="20"/>
        <v>15</v>
      </c>
      <c r="Y54" t="str">
        <f t="shared" si="21"/>
        <v xml:space="preserve"> </v>
      </c>
      <c r="AB54" t="str">
        <f t="shared" si="7"/>
        <v>SAC PTE-DE LIQ.</v>
      </c>
    </row>
    <row r="55" spans="1:28" x14ac:dyDescent="0.25">
      <c r="A55" s="21">
        <v>5110503</v>
      </c>
      <c r="B55" s="21" t="s">
        <v>28</v>
      </c>
      <c r="C55" s="11">
        <v>30</v>
      </c>
      <c r="D55" s="12">
        <v>17744.7575</v>
      </c>
      <c r="E55" s="13"/>
      <c r="F55" s="8">
        <v>11321424</v>
      </c>
      <c r="G55" s="8" t="s">
        <v>148</v>
      </c>
      <c r="H55">
        <v>2031</v>
      </c>
      <c r="I55">
        <v>1</v>
      </c>
      <c r="L55">
        <v>88888</v>
      </c>
      <c r="M55" s="1">
        <f t="shared" si="12"/>
        <v>54</v>
      </c>
      <c r="N55" s="2">
        <f t="shared" si="13"/>
        <v>43861</v>
      </c>
      <c r="O55" t="s">
        <v>143</v>
      </c>
      <c r="P55">
        <f t="shared" si="0"/>
        <v>1029</v>
      </c>
      <c r="Q55" s="5">
        <f t="shared" si="14"/>
        <v>30</v>
      </c>
      <c r="R55" s="4">
        <f t="shared" si="15"/>
        <v>6388.1126999999997</v>
      </c>
      <c r="T55" s="4">
        <f t="shared" si="16"/>
        <v>0</v>
      </c>
      <c r="U55">
        <f t="shared" si="17"/>
        <v>0</v>
      </c>
      <c r="V55">
        <f t="shared" si="18"/>
        <v>40</v>
      </c>
      <c r="W55" t="str">
        <f t="shared" si="19"/>
        <v xml:space="preserve">CARGAS SOCIALES                         </v>
      </c>
      <c r="X55">
        <f t="shared" si="20"/>
        <v>15</v>
      </c>
      <c r="Y55" t="str">
        <f t="shared" si="21"/>
        <v xml:space="preserve"> </v>
      </c>
      <c r="AB55" t="str">
        <f t="shared" si="7"/>
        <v>CARGAS SOCIALES</v>
      </c>
    </row>
    <row r="56" spans="1:28" x14ac:dyDescent="0.25">
      <c r="A56" s="21">
        <v>5110502</v>
      </c>
      <c r="B56" s="21" t="s">
        <v>27</v>
      </c>
      <c r="C56" s="11">
        <v>30</v>
      </c>
      <c r="D56" s="12">
        <v>6388.1126999999997</v>
      </c>
      <c r="E56" s="13"/>
      <c r="F56">
        <v>21110204</v>
      </c>
      <c r="G56" t="s">
        <v>144</v>
      </c>
      <c r="H56">
        <v>58</v>
      </c>
      <c r="I56">
        <v>1</v>
      </c>
      <c r="L56">
        <v>88888</v>
      </c>
      <c r="M56" s="1">
        <f t="shared" si="12"/>
        <v>55</v>
      </c>
      <c r="N56" s="2">
        <f t="shared" si="13"/>
        <v>43861</v>
      </c>
      <c r="O56" t="s">
        <v>159</v>
      </c>
      <c r="P56">
        <f t="shared" si="0"/>
        <v>1030</v>
      </c>
      <c r="Q56" s="5">
        <f t="shared" si="14"/>
        <v>31</v>
      </c>
      <c r="R56" s="4">
        <f t="shared" si="15"/>
        <v>102098.90861111112</v>
      </c>
      <c r="T56" s="4">
        <f t="shared" si="16"/>
        <v>0</v>
      </c>
      <c r="U56">
        <f t="shared" si="17"/>
        <v>0</v>
      </c>
      <c r="V56">
        <f t="shared" si="18"/>
        <v>40</v>
      </c>
      <c r="W56" t="str">
        <f t="shared" si="19"/>
        <v xml:space="preserve">SAC PTE-DE LIQ.                         </v>
      </c>
      <c r="X56">
        <f t="shared" si="20"/>
        <v>15</v>
      </c>
      <c r="Y56" t="str">
        <f t="shared" si="21"/>
        <v xml:space="preserve"> </v>
      </c>
      <c r="AB56" t="str">
        <f t="shared" si="7"/>
        <v>SAC PTE-DE LIQ.</v>
      </c>
    </row>
    <row r="57" spans="1:28" x14ac:dyDescent="0.25">
      <c r="A57" s="21">
        <v>5110503</v>
      </c>
      <c r="B57" s="21" t="s">
        <v>28</v>
      </c>
      <c r="C57" s="11">
        <v>31</v>
      </c>
      <c r="D57" s="12">
        <v>102098.90861111112</v>
      </c>
      <c r="E57" s="13"/>
      <c r="F57">
        <v>21130702</v>
      </c>
      <c r="G57" t="s">
        <v>54</v>
      </c>
      <c r="H57">
        <v>109</v>
      </c>
      <c r="I57">
        <v>1</v>
      </c>
      <c r="L57">
        <v>88888</v>
      </c>
      <c r="M57" s="1">
        <f t="shared" si="12"/>
        <v>56</v>
      </c>
      <c r="N57" s="2">
        <f t="shared" si="13"/>
        <v>43861</v>
      </c>
      <c r="O57" t="s">
        <v>143</v>
      </c>
      <c r="P57">
        <f t="shared" si="0"/>
        <v>1029</v>
      </c>
      <c r="Q57" s="5">
        <f t="shared" si="14"/>
        <v>31</v>
      </c>
      <c r="R57" s="4">
        <f t="shared" si="15"/>
        <v>36755.607100000001</v>
      </c>
      <c r="T57" s="4">
        <f t="shared" si="16"/>
        <v>0</v>
      </c>
      <c r="U57">
        <f t="shared" si="17"/>
        <v>0</v>
      </c>
      <c r="V57">
        <f t="shared" si="18"/>
        <v>40</v>
      </c>
      <c r="W57" t="str">
        <f t="shared" si="19"/>
        <v xml:space="preserve">CARGAS SOCIALES                         </v>
      </c>
      <c r="X57">
        <f t="shared" si="20"/>
        <v>15</v>
      </c>
      <c r="Y57" t="str">
        <f t="shared" si="21"/>
        <v xml:space="preserve"> </v>
      </c>
      <c r="AB57" t="str">
        <f t="shared" si="7"/>
        <v>CARGAS SOCIALES</v>
      </c>
    </row>
    <row r="58" spans="1:28" x14ac:dyDescent="0.25">
      <c r="A58" s="21">
        <v>5110502</v>
      </c>
      <c r="B58" s="21" t="s">
        <v>27</v>
      </c>
      <c r="C58" s="11">
        <v>31</v>
      </c>
      <c r="D58" s="12">
        <v>36755.607100000001</v>
      </c>
      <c r="E58" s="13"/>
      <c r="F58">
        <v>21130901</v>
      </c>
      <c r="G58" t="s">
        <v>55</v>
      </c>
      <c r="H58">
        <v>114</v>
      </c>
      <c r="I58">
        <v>1</v>
      </c>
      <c r="L58">
        <v>88888</v>
      </c>
      <c r="M58" s="1">
        <f t="shared" si="12"/>
        <v>57</v>
      </c>
      <c r="N58" s="2">
        <f t="shared" si="13"/>
        <v>43861</v>
      </c>
      <c r="O58" t="s">
        <v>159</v>
      </c>
      <c r="P58">
        <f t="shared" si="0"/>
        <v>1030</v>
      </c>
      <c r="Q58" s="5">
        <f t="shared" si="14"/>
        <v>32</v>
      </c>
      <c r="R58" s="4">
        <f t="shared" si="15"/>
        <v>37117.665833333333</v>
      </c>
      <c r="T58" s="4">
        <f t="shared" si="16"/>
        <v>0</v>
      </c>
      <c r="U58">
        <f t="shared" si="17"/>
        <v>0</v>
      </c>
      <c r="V58">
        <f t="shared" si="18"/>
        <v>40</v>
      </c>
      <c r="W58" t="str">
        <f t="shared" si="19"/>
        <v xml:space="preserve">SAC PTE-DE LIQ.                         </v>
      </c>
      <c r="X58">
        <f t="shared" si="20"/>
        <v>15</v>
      </c>
      <c r="Y58" t="str">
        <f t="shared" si="21"/>
        <v xml:space="preserve"> </v>
      </c>
      <c r="AB58" t="str">
        <f t="shared" si="7"/>
        <v>SAC PTE-DE LIQ.</v>
      </c>
    </row>
    <row r="59" spans="1:28" x14ac:dyDescent="0.25">
      <c r="A59" s="21">
        <v>5110503</v>
      </c>
      <c r="B59" s="21" t="s">
        <v>28</v>
      </c>
      <c r="C59" s="11">
        <v>32</v>
      </c>
      <c r="D59" s="12">
        <v>37117.665833333333</v>
      </c>
      <c r="E59" s="13"/>
      <c r="F59">
        <v>21140101</v>
      </c>
      <c r="G59" t="s">
        <v>56</v>
      </c>
      <c r="H59">
        <v>120</v>
      </c>
      <c r="I59">
        <v>1</v>
      </c>
      <c r="L59">
        <v>88888</v>
      </c>
      <c r="M59" s="1">
        <f t="shared" si="12"/>
        <v>58</v>
      </c>
      <c r="N59" s="2">
        <f t="shared" si="13"/>
        <v>43861</v>
      </c>
      <c r="O59" t="s">
        <v>143</v>
      </c>
      <c r="P59">
        <f t="shared" si="0"/>
        <v>1029</v>
      </c>
      <c r="Q59" s="5">
        <f t="shared" si="14"/>
        <v>32</v>
      </c>
      <c r="R59" s="4">
        <f t="shared" si="15"/>
        <v>13362.359700000001</v>
      </c>
      <c r="T59" s="4">
        <f t="shared" si="16"/>
        <v>0</v>
      </c>
      <c r="U59">
        <f t="shared" si="17"/>
        <v>0</v>
      </c>
      <c r="V59">
        <f t="shared" si="18"/>
        <v>40</v>
      </c>
      <c r="W59" t="str">
        <f t="shared" si="19"/>
        <v xml:space="preserve">CARGAS SOCIALES                         </v>
      </c>
      <c r="X59">
        <f t="shared" si="20"/>
        <v>15</v>
      </c>
      <c r="Y59" t="str">
        <f t="shared" si="21"/>
        <v xml:space="preserve"> </v>
      </c>
      <c r="AB59" t="str">
        <f t="shared" si="7"/>
        <v>CARGAS SOCIALES</v>
      </c>
    </row>
    <row r="60" spans="1:28" x14ac:dyDescent="0.25">
      <c r="A60" s="21">
        <v>5110502</v>
      </c>
      <c r="B60" s="21" t="s">
        <v>27</v>
      </c>
      <c r="C60" s="11">
        <v>32</v>
      </c>
      <c r="D60" s="12">
        <v>13362.359700000001</v>
      </c>
      <c r="E60" s="13"/>
      <c r="F60">
        <v>21140102</v>
      </c>
      <c r="G60" t="s">
        <v>57</v>
      </c>
      <c r="H60">
        <v>121</v>
      </c>
      <c r="I60">
        <v>1</v>
      </c>
      <c r="L60">
        <v>88888</v>
      </c>
      <c r="M60" s="1">
        <f t="shared" si="12"/>
        <v>59</v>
      </c>
      <c r="N60" s="2">
        <f t="shared" si="13"/>
        <v>43861</v>
      </c>
      <c r="O60" t="s">
        <v>159</v>
      </c>
      <c r="P60">
        <f t="shared" si="0"/>
        <v>1030</v>
      </c>
      <c r="Q60" s="5">
        <f t="shared" si="14"/>
        <v>34</v>
      </c>
      <c r="R60" s="4">
        <f t="shared" si="15"/>
        <v>63693.829166666677</v>
      </c>
      <c r="T60" s="4">
        <f t="shared" si="16"/>
        <v>0</v>
      </c>
      <c r="U60">
        <f t="shared" si="17"/>
        <v>0</v>
      </c>
      <c r="V60">
        <f t="shared" si="18"/>
        <v>40</v>
      </c>
      <c r="W60" t="str">
        <f t="shared" si="19"/>
        <v xml:space="preserve">SAC PTE-DE LIQ.                         </v>
      </c>
      <c r="X60">
        <f t="shared" si="20"/>
        <v>15</v>
      </c>
      <c r="Y60" t="str">
        <f t="shared" si="21"/>
        <v xml:space="preserve"> </v>
      </c>
      <c r="AB60" t="str">
        <f t="shared" si="7"/>
        <v>SAC PTE-DE LIQ.</v>
      </c>
    </row>
    <row r="61" spans="1:28" x14ac:dyDescent="0.25">
      <c r="A61" s="21">
        <v>5110503</v>
      </c>
      <c r="B61" s="21" t="s">
        <v>28</v>
      </c>
      <c r="C61" s="11">
        <v>34</v>
      </c>
      <c r="D61" s="12">
        <v>63693.829166666677</v>
      </c>
      <c r="E61" s="13"/>
      <c r="F61">
        <v>21140103</v>
      </c>
      <c r="G61" t="s">
        <v>58</v>
      </c>
      <c r="H61">
        <v>122</v>
      </c>
      <c r="I61">
        <v>1</v>
      </c>
      <c r="L61">
        <v>88888</v>
      </c>
      <c r="M61" s="1">
        <f t="shared" si="12"/>
        <v>60</v>
      </c>
      <c r="N61" s="2">
        <f t="shared" si="13"/>
        <v>43861</v>
      </c>
      <c r="O61" t="s">
        <v>143</v>
      </c>
      <c r="P61">
        <f t="shared" si="0"/>
        <v>1029</v>
      </c>
      <c r="Q61" s="5">
        <f t="shared" si="14"/>
        <v>34</v>
      </c>
      <c r="R61" s="4">
        <f t="shared" si="15"/>
        <v>22929.7785</v>
      </c>
      <c r="T61" s="4">
        <f t="shared" si="16"/>
        <v>0</v>
      </c>
      <c r="U61">
        <f t="shared" si="17"/>
        <v>0</v>
      </c>
      <c r="V61">
        <f t="shared" si="18"/>
        <v>40</v>
      </c>
      <c r="W61" t="str">
        <f t="shared" si="19"/>
        <v xml:space="preserve">CARGAS SOCIALES                         </v>
      </c>
      <c r="X61">
        <f t="shared" si="20"/>
        <v>15</v>
      </c>
      <c r="Y61" t="str">
        <f t="shared" si="21"/>
        <v xml:space="preserve"> </v>
      </c>
      <c r="AB61" t="str">
        <f t="shared" si="7"/>
        <v>CARGAS SOCIALES</v>
      </c>
    </row>
    <row r="62" spans="1:28" x14ac:dyDescent="0.25">
      <c r="A62" s="21">
        <v>5110502</v>
      </c>
      <c r="B62" s="21" t="s">
        <v>27</v>
      </c>
      <c r="C62" s="11">
        <v>34</v>
      </c>
      <c r="D62" s="12">
        <v>22929.7785</v>
      </c>
      <c r="E62" s="13"/>
      <c r="F62">
        <v>21140104</v>
      </c>
      <c r="G62" t="s">
        <v>59</v>
      </c>
      <c r="H62">
        <v>123</v>
      </c>
      <c r="I62">
        <v>1</v>
      </c>
      <c r="L62">
        <v>88888</v>
      </c>
      <c r="M62" s="1">
        <f t="shared" si="12"/>
        <v>61</v>
      </c>
      <c r="N62" s="2">
        <f t="shared" si="13"/>
        <v>43861</v>
      </c>
      <c r="O62" t="s">
        <v>159</v>
      </c>
      <c r="P62">
        <f t="shared" si="0"/>
        <v>1030</v>
      </c>
      <c r="Q62" s="5">
        <f t="shared" si="14"/>
        <v>35</v>
      </c>
      <c r="R62" s="4">
        <f t="shared" si="15"/>
        <v>38456.540833333333</v>
      </c>
      <c r="T62" s="4">
        <f t="shared" si="16"/>
        <v>0</v>
      </c>
      <c r="U62">
        <f t="shared" si="17"/>
        <v>0</v>
      </c>
      <c r="V62">
        <f t="shared" si="18"/>
        <v>40</v>
      </c>
      <c r="W62" t="str">
        <f t="shared" si="19"/>
        <v xml:space="preserve">SAC PTE-DE LIQ.                         </v>
      </c>
      <c r="X62">
        <f t="shared" si="20"/>
        <v>15</v>
      </c>
      <c r="Y62" t="str">
        <f t="shared" si="21"/>
        <v xml:space="preserve"> </v>
      </c>
      <c r="AB62" t="str">
        <f t="shared" si="7"/>
        <v>SAC PTE-DE LIQ.</v>
      </c>
    </row>
    <row r="63" spans="1:28" x14ac:dyDescent="0.25">
      <c r="A63" s="21">
        <v>5110503</v>
      </c>
      <c r="B63" s="21" t="s">
        <v>28</v>
      </c>
      <c r="C63" s="11">
        <v>35</v>
      </c>
      <c r="D63" s="12">
        <v>38456.540833333333</v>
      </c>
      <c r="E63" s="13"/>
      <c r="F63">
        <v>21140105</v>
      </c>
      <c r="G63" t="s">
        <v>60</v>
      </c>
      <c r="H63">
        <v>124</v>
      </c>
      <c r="I63">
        <v>1</v>
      </c>
      <c r="L63">
        <v>88888</v>
      </c>
      <c r="M63" s="1">
        <f t="shared" ref="M63:M103" si="22">+M62+1</f>
        <v>62</v>
      </c>
      <c r="N63" s="2">
        <f t="shared" ref="N63:N86" si="23">+A$1</f>
        <v>43861</v>
      </c>
      <c r="O63" t="s">
        <v>143</v>
      </c>
      <c r="P63">
        <f t="shared" si="0"/>
        <v>1029</v>
      </c>
      <c r="Q63" s="5">
        <f t="shared" ref="Q63:Q86" si="24">+C64</f>
        <v>35</v>
      </c>
      <c r="R63" s="4">
        <f t="shared" ref="R63:R86" si="25">+D64</f>
        <v>13844.3547</v>
      </c>
      <c r="T63" s="4">
        <f t="shared" ref="T63:T86" si="26">+E64</f>
        <v>0</v>
      </c>
      <c r="U63">
        <f t="shared" ref="U63:U86" si="27">LEN(S63)</f>
        <v>0</v>
      </c>
      <c r="V63">
        <f t="shared" ref="V63:V86" si="28">LEN(O63)</f>
        <v>40</v>
      </c>
      <c r="W63" t="str">
        <f t="shared" ref="W63:W86" si="29">AB63 &amp; REPT(" ",(40-X63))</f>
        <v xml:space="preserve">CARGAS SOCIALES                         </v>
      </c>
      <c r="X63">
        <f t="shared" ref="X63:X86" si="30">LEN(AB63)</f>
        <v>15</v>
      </c>
      <c r="Y63" t="str">
        <f t="shared" ref="Y63:Y86" si="31">S63 &amp; REPT(" ",(1-U63))</f>
        <v xml:space="preserve"> </v>
      </c>
      <c r="AB63" t="str">
        <f t="shared" si="7"/>
        <v>CARGAS SOCIALES</v>
      </c>
    </row>
    <row r="64" spans="1:28" x14ac:dyDescent="0.25">
      <c r="A64" s="21">
        <v>5110502</v>
      </c>
      <c r="B64" s="21" t="s">
        <v>27</v>
      </c>
      <c r="C64" s="11">
        <v>35</v>
      </c>
      <c r="D64" s="12">
        <v>13844.3547</v>
      </c>
      <c r="E64" s="13"/>
      <c r="F64">
        <v>21140106</v>
      </c>
      <c r="G64" t="s">
        <v>61</v>
      </c>
      <c r="H64">
        <v>125</v>
      </c>
      <c r="I64">
        <v>1</v>
      </c>
      <c r="L64">
        <v>88888</v>
      </c>
      <c r="M64" s="1">
        <f t="shared" si="22"/>
        <v>63</v>
      </c>
      <c r="N64" s="2">
        <f t="shared" si="23"/>
        <v>43861</v>
      </c>
      <c r="O64" t="s">
        <v>159</v>
      </c>
      <c r="P64">
        <f t="shared" si="0"/>
        <v>1030</v>
      </c>
      <c r="Q64" s="5">
        <f t="shared" si="24"/>
        <v>36</v>
      </c>
      <c r="R64" s="4">
        <f t="shared" si="25"/>
        <v>38885.957916666674</v>
      </c>
      <c r="T64" s="4">
        <f t="shared" si="26"/>
        <v>0</v>
      </c>
      <c r="U64">
        <f t="shared" si="27"/>
        <v>0</v>
      </c>
      <c r="V64">
        <f t="shared" si="28"/>
        <v>40</v>
      </c>
      <c r="W64" t="str">
        <f t="shared" si="29"/>
        <v xml:space="preserve">SAC PTE-DE LIQ.                         </v>
      </c>
      <c r="X64">
        <f t="shared" si="30"/>
        <v>15</v>
      </c>
      <c r="Y64" t="str">
        <f t="shared" si="31"/>
        <v xml:space="preserve"> </v>
      </c>
      <c r="AB64" t="str">
        <f t="shared" si="7"/>
        <v>SAC PTE-DE LIQ.</v>
      </c>
    </row>
    <row r="65" spans="1:28" x14ac:dyDescent="0.25">
      <c r="A65" s="21">
        <v>5110503</v>
      </c>
      <c r="B65" s="21" t="s">
        <v>28</v>
      </c>
      <c r="C65" s="11">
        <v>36</v>
      </c>
      <c r="D65" s="12">
        <v>38885.957916666674</v>
      </c>
      <c r="E65" s="13"/>
      <c r="F65">
        <v>21140107</v>
      </c>
      <c r="G65" t="s">
        <v>62</v>
      </c>
      <c r="H65">
        <v>126</v>
      </c>
      <c r="I65">
        <v>1</v>
      </c>
      <c r="L65">
        <v>88888</v>
      </c>
      <c r="M65" s="1">
        <f t="shared" si="22"/>
        <v>64</v>
      </c>
      <c r="N65" s="2">
        <f t="shared" si="23"/>
        <v>43861</v>
      </c>
      <c r="O65" t="s">
        <v>143</v>
      </c>
      <c r="P65">
        <f t="shared" si="0"/>
        <v>1029</v>
      </c>
      <c r="Q65" s="5">
        <f t="shared" si="24"/>
        <v>36</v>
      </c>
      <c r="R65" s="4">
        <f t="shared" si="25"/>
        <v>13998.944850000003</v>
      </c>
      <c r="T65" s="4">
        <f t="shared" si="26"/>
        <v>0</v>
      </c>
      <c r="U65">
        <f t="shared" si="27"/>
        <v>0</v>
      </c>
      <c r="V65">
        <f t="shared" si="28"/>
        <v>40</v>
      </c>
      <c r="W65" t="str">
        <f t="shared" si="29"/>
        <v xml:space="preserve">CARGAS SOCIALES                         </v>
      </c>
      <c r="X65">
        <f t="shared" si="30"/>
        <v>15</v>
      </c>
      <c r="Y65" t="str">
        <f t="shared" si="31"/>
        <v xml:space="preserve"> </v>
      </c>
      <c r="AB65" t="str">
        <f t="shared" si="7"/>
        <v>CARGAS SOCIALES</v>
      </c>
    </row>
    <row r="66" spans="1:28" x14ac:dyDescent="0.25">
      <c r="A66" s="21">
        <v>5110502</v>
      </c>
      <c r="B66" s="21" t="s">
        <v>27</v>
      </c>
      <c r="C66" s="11">
        <v>36</v>
      </c>
      <c r="D66" s="12">
        <v>13998.944850000003</v>
      </c>
      <c r="E66" s="13"/>
      <c r="F66">
        <v>21140108</v>
      </c>
      <c r="G66" t="s">
        <v>63</v>
      </c>
      <c r="H66">
        <v>127</v>
      </c>
      <c r="I66">
        <v>1</v>
      </c>
      <c r="L66">
        <v>88888</v>
      </c>
      <c r="M66" s="1">
        <f t="shared" si="22"/>
        <v>65</v>
      </c>
      <c r="N66" s="2">
        <f t="shared" si="23"/>
        <v>43861</v>
      </c>
      <c r="O66" t="s">
        <v>159</v>
      </c>
      <c r="P66">
        <f t="shared" ref="P66:P129" si="32">LOOKUP(A67,F$2:F$153,H$2:H$153)</f>
        <v>1030</v>
      </c>
      <c r="Q66" s="5">
        <f t="shared" si="24"/>
        <v>37</v>
      </c>
      <c r="R66" s="4">
        <f t="shared" si="25"/>
        <v>18663.164166666666</v>
      </c>
      <c r="T66" s="4">
        <f t="shared" si="26"/>
        <v>0</v>
      </c>
      <c r="U66">
        <f t="shared" si="27"/>
        <v>0</v>
      </c>
      <c r="V66">
        <f t="shared" si="28"/>
        <v>40</v>
      </c>
      <c r="W66" t="str">
        <f t="shared" si="29"/>
        <v xml:space="preserve">SAC PTE-DE LIQ.                         </v>
      </c>
      <c r="X66">
        <f t="shared" si="30"/>
        <v>15</v>
      </c>
      <c r="Y66" t="str">
        <f t="shared" si="31"/>
        <v xml:space="preserve"> </v>
      </c>
      <c r="AB66" t="str">
        <f t="shared" ref="AB66:AB129" si="33">LOOKUP(A67,F$2:F$153,G$2:G$153)</f>
        <v>SAC PTE-DE LIQ.</v>
      </c>
    </row>
    <row r="67" spans="1:28" x14ac:dyDescent="0.25">
      <c r="A67" s="21">
        <v>5110503</v>
      </c>
      <c r="B67" s="21" t="s">
        <v>28</v>
      </c>
      <c r="C67" s="11">
        <v>37</v>
      </c>
      <c r="D67" s="12">
        <v>18663.164166666666</v>
      </c>
      <c r="E67" s="13"/>
      <c r="F67">
        <v>21140109</v>
      </c>
      <c r="G67" t="s">
        <v>64</v>
      </c>
      <c r="H67">
        <v>128</v>
      </c>
      <c r="I67">
        <v>1</v>
      </c>
      <c r="L67">
        <v>88888</v>
      </c>
      <c r="M67" s="1">
        <f t="shared" si="22"/>
        <v>66</v>
      </c>
      <c r="N67" s="2">
        <f t="shared" si="23"/>
        <v>43861</v>
      </c>
      <c r="O67" t="s">
        <v>143</v>
      </c>
      <c r="P67">
        <f t="shared" si="32"/>
        <v>1029</v>
      </c>
      <c r="Q67" s="5">
        <f t="shared" si="24"/>
        <v>37</v>
      </c>
      <c r="R67" s="4">
        <f t="shared" si="25"/>
        <v>6718.7390999999998</v>
      </c>
      <c r="T67" s="4">
        <f t="shared" si="26"/>
        <v>0</v>
      </c>
      <c r="U67">
        <f t="shared" si="27"/>
        <v>0</v>
      </c>
      <c r="V67">
        <f t="shared" si="28"/>
        <v>40</v>
      </c>
      <c r="W67" t="str">
        <f t="shared" si="29"/>
        <v xml:space="preserve">CARGAS SOCIALES                         </v>
      </c>
      <c r="X67">
        <f t="shared" si="30"/>
        <v>15</v>
      </c>
      <c r="Y67" t="str">
        <f t="shared" si="31"/>
        <v xml:space="preserve"> </v>
      </c>
      <c r="AB67" t="str">
        <f t="shared" si="33"/>
        <v>CARGAS SOCIALES</v>
      </c>
    </row>
    <row r="68" spans="1:28" x14ac:dyDescent="0.25">
      <c r="A68" s="21">
        <v>5110502</v>
      </c>
      <c r="B68" s="21" t="s">
        <v>27</v>
      </c>
      <c r="C68" s="11">
        <v>37</v>
      </c>
      <c r="D68" s="12">
        <v>6718.7390999999998</v>
      </c>
      <c r="E68" s="13"/>
      <c r="F68">
        <v>21140110</v>
      </c>
      <c r="G68" t="s">
        <v>65</v>
      </c>
      <c r="H68">
        <v>129</v>
      </c>
      <c r="I68">
        <v>1</v>
      </c>
      <c r="L68">
        <v>88888</v>
      </c>
      <c r="M68" s="1">
        <f t="shared" si="22"/>
        <v>67</v>
      </c>
      <c r="N68" s="2">
        <f t="shared" si="23"/>
        <v>43861</v>
      </c>
      <c r="O68" t="s">
        <v>159</v>
      </c>
      <c r="P68">
        <f t="shared" si="32"/>
        <v>1030</v>
      </c>
      <c r="Q68" s="5">
        <f t="shared" si="24"/>
        <v>38</v>
      </c>
      <c r="R68" s="4">
        <f t="shared" si="25"/>
        <v>87405.704999999987</v>
      </c>
      <c r="T68" s="4">
        <f t="shared" si="26"/>
        <v>0</v>
      </c>
      <c r="U68">
        <f t="shared" si="27"/>
        <v>0</v>
      </c>
      <c r="V68">
        <f t="shared" si="28"/>
        <v>40</v>
      </c>
      <c r="W68" t="str">
        <f t="shared" si="29"/>
        <v xml:space="preserve">SAC PTE-DE LIQ.                         </v>
      </c>
      <c r="X68">
        <f t="shared" si="30"/>
        <v>15</v>
      </c>
      <c r="Y68" t="str">
        <f t="shared" si="31"/>
        <v xml:space="preserve"> </v>
      </c>
      <c r="AB68" t="str">
        <f t="shared" si="33"/>
        <v>SAC PTE-DE LIQ.</v>
      </c>
    </row>
    <row r="69" spans="1:28" x14ac:dyDescent="0.25">
      <c r="A69" s="21">
        <v>5110503</v>
      </c>
      <c r="B69" s="21" t="s">
        <v>28</v>
      </c>
      <c r="C69" s="11">
        <v>38</v>
      </c>
      <c r="D69" s="12">
        <v>87405.704999999987</v>
      </c>
      <c r="E69" s="13"/>
      <c r="F69">
        <v>21140111</v>
      </c>
      <c r="G69" t="s">
        <v>66</v>
      </c>
      <c r="H69">
        <v>130</v>
      </c>
      <c r="I69">
        <v>1</v>
      </c>
      <c r="L69">
        <v>88888</v>
      </c>
      <c r="M69" s="1">
        <f t="shared" si="22"/>
        <v>68</v>
      </c>
      <c r="N69" s="2">
        <f t="shared" si="23"/>
        <v>43861</v>
      </c>
      <c r="O69" t="s">
        <v>143</v>
      </c>
      <c r="P69">
        <f t="shared" si="32"/>
        <v>1029</v>
      </c>
      <c r="Q69" s="5">
        <f t="shared" si="24"/>
        <v>38</v>
      </c>
      <c r="R69" s="4">
        <f t="shared" si="25"/>
        <v>31466.053800000002</v>
      </c>
      <c r="T69" s="4">
        <f t="shared" si="26"/>
        <v>0</v>
      </c>
      <c r="U69">
        <f t="shared" si="27"/>
        <v>0</v>
      </c>
      <c r="V69">
        <f t="shared" si="28"/>
        <v>40</v>
      </c>
      <c r="W69" t="str">
        <f t="shared" si="29"/>
        <v xml:space="preserve">CARGAS SOCIALES                         </v>
      </c>
      <c r="X69">
        <f t="shared" si="30"/>
        <v>15</v>
      </c>
      <c r="Y69" t="str">
        <f t="shared" si="31"/>
        <v xml:space="preserve"> </v>
      </c>
      <c r="AB69" t="str">
        <f t="shared" si="33"/>
        <v>CARGAS SOCIALES</v>
      </c>
    </row>
    <row r="70" spans="1:28" x14ac:dyDescent="0.25">
      <c r="A70" s="21">
        <v>5110502</v>
      </c>
      <c r="B70" s="21" t="s">
        <v>27</v>
      </c>
      <c r="C70" s="11">
        <v>38</v>
      </c>
      <c r="D70" s="12">
        <v>31466.053800000002</v>
      </c>
      <c r="E70" s="13"/>
      <c r="F70">
        <v>21140112</v>
      </c>
      <c r="G70" t="s">
        <v>67</v>
      </c>
      <c r="H70">
        <v>131</v>
      </c>
      <c r="I70">
        <v>1</v>
      </c>
      <c r="L70">
        <v>88888</v>
      </c>
      <c r="M70" s="1">
        <f t="shared" si="22"/>
        <v>69</v>
      </c>
      <c r="N70" s="2">
        <f t="shared" si="23"/>
        <v>43861</v>
      </c>
      <c r="O70" t="s">
        <v>159</v>
      </c>
      <c r="P70">
        <f t="shared" si="32"/>
        <v>1030</v>
      </c>
      <c r="Q70" s="5">
        <f t="shared" si="24"/>
        <v>39</v>
      </c>
      <c r="R70" s="4">
        <f t="shared" si="25"/>
        <v>21218.07916666667</v>
      </c>
      <c r="T70" s="4">
        <f t="shared" si="26"/>
        <v>0</v>
      </c>
      <c r="U70">
        <f t="shared" si="27"/>
        <v>0</v>
      </c>
      <c r="V70">
        <f t="shared" si="28"/>
        <v>40</v>
      </c>
      <c r="W70" t="str">
        <f t="shared" si="29"/>
        <v xml:space="preserve">SAC PTE-DE LIQ.                         </v>
      </c>
      <c r="X70">
        <f t="shared" si="30"/>
        <v>15</v>
      </c>
      <c r="Y70" t="str">
        <f t="shared" si="31"/>
        <v xml:space="preserve"> </v>
      </c>
      <c r="AB70" t="str">
        <f t="shared" si="33"/>
        <v>SAC PTE-DE LIQ.</v>
      </c>
    </row>
    <row r="71" spans="1:28" x14ac:dyDescent="0.25">
      <c r="A71" s="21">
        <v>5110503</v>
      </c>
      <c r="B71" s="21" t="s">
        <v>28</v>
      </c>
      <c r="C71" s="11">
        <v>39</v>
      </c>
      <c r="D71" s="12">
        <v>21218.07916666667</v>
      </c>
      <c r="E71" s="13"/>
      <c r="F71">
        <v>21140113</v>
      </c>
      <c r="G71" t="s">
        <v>68</v>
      </c>
      <c r="H71">
        <v>132</v>
      </c>
      <c r="I71">
        <v>1</v>
      </c>
      <c r="L71">
        <v>88888</v>
      </c>
      <c r="M71" s="1">
        <f t="shared" si="22"/>
        <v>70</v>
      </c>
      <c r="N71" s="2">
        <f t="shared" si="23"/>
        <v>43861</v>
      </c>
      <c r="O71" t="s">
        <v>143</v>
      </c>
      <c r="P71">
        <f t="shared" si="32"/>
        <v>1029</v>
      </c>
      <c r="Q71" s="5">
        <f t="shared" si="24"/>
        <v>39</v>
      </c>
      <c r="R71" s="4">
        <f t="shared" si="25"/>
        <v>7638.5084999999999</v>
      </c>
      <c r="T71" s="4">
        <f t="shared" si="26"/>
        <v>0</v>
      </c>
      <c r="U71">
        <f t="shared" si="27"/>
        <v>0</v>
      </c>
      <c r="V71">
        <f t="shared" si="28"/>
        <v>40</v>
      </c>
      <c r="W71" t="str">
        <f t="shared" si="29"/>
        <v xml:space="preserve">CARGAS SOCIALES                         </v>
      </c>
      <c r="X71">
        <f t="shared" si="30"/>
        <v>15</v>
      </c>
      <c r="Y71" t="str">
        <f t="shared" si="31"/>
        <v xml:space="preserve"> </v>
      </c>
      <c r="AB71" t="str">
        <f t="shared" si="33"/>
        <v>CARGAS SOCIALES</v>
      </c>
    </row>
    <row r="72" spans="1:28" x14ac:dyDescent="0.25">
      <c r="A72" s="21">
        <v>5110502</v>
      </c>
      <c r="B72" s="21" t="s">
        <v>27</v>
      </c>
      <c r="C72" s="11">
        <v>39</v>
      </c>
      <c r="D72" s="12">
        <v>7638.5084999999999</v>
      </c>
      <c r="E72" s="13"/>
      <c r="F72">
        <v>21140114</v>
      </c>
      <c r="G72" t="s">
        <v>69</v>
      </c>
      <c r="H72">
        <v>133</v>
      </c>
      <c r="I72">
        <v>1</v>
      </c>
      <c r="L72">
        <v>88888</v>
      </c>
      <c r="M72" s="1">
        <f t="shared" si="22"/>
        <v>71</v>
      </c>
      <c r="N72" s="2">
        <f t="shared" si="23"/>
        <v>43861</v>
      </c>
      <c r="O72" t="s">
        <v>159</v>
      </c>
      <c r="P72">
        <f t="shared" si="32"/>
        <v>1030</v>
      </c>
      <c r="Q72" s="5">
        <f t="shared" si="24"/>
        <v>40</v>
      </c>
      <c r="R72" s="4">
        <f t="shared" si="25"/>
        <v>15853.869166666667</v>
      </c>
      <c r="T72" s="4">
        <f t="shared" si="26"/>
        <v>0</v>
      </c>
      <c r="U72">
        <f t="shared" si="27"/>
        <v>0</v>
      </c>
      <c r="V72">
        <f t="shared" si="28"/>
        <v>40</v>
      </c>
      <c r="W72" t="str">
        <f t="shared" si="29"/>
        <v xml:space="preserve">SAC PTE-DE LIQ.                         </v>
      </c>
      <c r="X72">
        <f t="shared" si="30"/>
        <v>15</v>
      </c>
      <c r="Y72" t="str">
        <f t="shared" si="31"/>
        <v xml:space="preserve"> </v>
      </c>
      <c r="AB72" t="str">
        <f t="shared" si="33"/>
        <v>SAC PTE-DE LIQ.</v>
      </c>
    </row>
    <row r="73" spans="1:28" x14ac:dyDescent="0.25">
      <c r="A73" s="21">
        <v>5110503</v>
      </c>
      <c r="B73" s="21" t="s">
        <v>28</v>
      </c>
      <c r="C73" s="11">
        <v>40</v>
      </c>
      <c r="D73" s="12">
        <v>15853.869166666667</v>
      </c>
      <c r="E73" s="13"/>
      <c r="F73">
        <v>21140115</v>
      </c>
      <c r="G73" t="s">
        <v>70</v>
      </c>
      <c r="H73">
        <v>134</v>
      </c>
      <c r="I73">
        <v>1</v>
      </c>
      <c r="L73">
        <v>88888</v>
      </c>
      <c r="M73" s="1">
        <f t="shared" si="22"/>
        <v>72</v>
      </c>
      <c r="N73" s="2">
        <f t="shared" si="23"/>
        <v>43861</v>
      </c>
      <c r="O73" t="s">
        <v>143</v>
      </c>
      <c r="P73">
        <f t="shared" si="32"/>
        <v>1029</v>
      </c>
      <c r="Q73" s="5">
        <f t="shared" si="24"/>
        <v>40</v>
      </c>
      <c r="R73" s="4">
        <f t="shared" si="25"/>
        <v>5707.3928999999998</v>
      </c>
      <c r="T73" s="4">
        <f t="shared" si="26"/>
        <v>0</v>
      </c>
      <c r="U73">
        <f t="shared" si="27"/>
        <v>0</v>
      </c>
      <c r="V73">
        <f t="shared" si="28"/>
        <v>40</v>
      </c>
      <c r="W73" t="str">
        <f t="shared" si="29"/>
        <v xml:space="preserve">CARGAS SOCIALES                         </v>
      </c>
      <c r="X73">
        <f t="shared" si="30"/>
        <v>15</v>
      </c>
      <c r="Y73" t="str">
        <f t="shared" si="31"/>
        <v xml:space="preserve"> </v>
      </c>
      <c r="AB73" t="str">
        <f t="shared" si="33"/>
        <v>CARGAS SOCIALES</v>
      </c>
    </row>
    <row r="74" spans="1:28" x14ac:dyDescent="0.25">
      <c r="A74" s="21">
        <v>5110502</v>
      </c>
      <c r="B74" s="21" t="s">
        <v>27</v>
      </c>
      <c r="C74" s="11">
        <v>40</v>
      </c>
      <c r="D74" s="12">
        <v>5707.3928999999998</v>
      </c>
      <c r="E74" s="13"/>
      <c r="F74">
        <v>21140116</v>
      </c>
      <c r="G74" t="s">
        <v>71</v>
      </c>
      <c r="H74">
        <v>135</v>
      </c>
      <c r="I74">
        <v>1</v>
      </c>
      <c r="L74">
        <v>88888</v>
      </c>
      <c r="M74" s="1">
        <f t="shared" si="22"/>
        <v>73</v>
      </c>
      <c r="N74" s="2">
        <f t="shared" si="23"/>
        <v>43861</v>
      </c>
      <c r="O74" t="s">
        <v>159</v>
      </c>
      <c r="P74">
        <f t="shared" si="32"/>
        <v>1030</v>
      </c>
      <c r="Q74" s="5">
        <f t="shared" si="24"/>
        <v>41</v>
      </c>
      <c r="R74" s="4">
        <f t="shared" si="25"/>
        <v>10792.65</v>
      </c>
      <c r="T74" s="4">
        <f t="shared" si="26"/>
        <v>0</v>
      </c>
      <c r="U74">
        <f t="shared" si="27"/>
        <v>0</v>
      </c>
      <c r="V74">
        <f t="shared" si="28"/>
        <v>40</v>
      </c>
      <c r="W74" t="str">
        <f t="shared" si="29"/>
        <v xml:space="preserve">SAC PTE-DE LIQ.                         </v>
      </c>
      <c r="X74">
        <f t="shared" si="30"/>
        <v>15</v>
      </c>
      <c r="Y74" t="str">
        <f t="shared" si="31"/>
        <v xml:space="preserve"> </v>
      </c>
      <c r="AB74" t="str">
        <f t="shared" si="33"/>
        <v>SAC PTE-DE LIQ.</v>
      </c>
    </row>
    <row r="75" spans="1:28" x14ac:dyDescent="0.25">
      <c r="A75" s="21">
        <v>5110503</v>
      </c>
      <c r="B75" s="21" t="s">
        <v>28</v>
      </c>
      <c r="C75" s="11">
        <v>41</v>
      </c>
      <c r="D75" s="12">
        <v>10792.65</v>
      </c>
      <c r="E75" s="13"/>
      <c r="F75">
        <v>21140117</v>
      </c>
      <c r="G75" t="s">
        <v>72</v>
      </c>
      <c r="H75">
        <v>136</v>
      </c>
      <c r="I75">
        <v>1</v>
      </c>
      <c r="L75">
        <v>88888</v>
      </c>
      <c r="M75" s="1">
        <f t="shared" si="22"/>
        <v>74</v>
      </c>
      <c r="N75" s="2">
        <f t="shared" si="23"/>
        <v>43861</v>
      </c>
      <c r="O75" t="s">
        <v>143</v>
      </c>
      <c r="P75">
        <f t="shared" si="32"/>
        <v>1029</v>
      </c>
      <c r="Q75" s="5">
        <f t="shared" si="24"/>
        <v>41</v>
      </c>
      <c r="R75" s="4">
        <f t="shared" si="25"/>
        <v>3885.3539999999998</v>
      </c>
      <c r="T75" s="4">
        <f t="shared" si="26"/>
        <v>0</v>
      </c>
      <c r="U75">
        <f t="shared" si="27"/>
        <v>0</v>
      </c>
      <c r="V75">
        <f t="shared" si="28"/>
        <v>40</v>
      </c>
      <c r="W75" t="str">
        <f t="shared" si="29"/>
        <v xml:space="preserve">CARGAS SOCIALES                         </v>
      </c>
      <c r="X75">
        <f t="shared" si="30"/>
        <v>15</v>
      </c>
      <c r="Y75" t="str">
        <f t="shared" si="31"/>
        <v xml:space="preserve"> </v>
      </c>
      <c r="AB75" t="str">
        <f t="shared" si="33"/>
        <v>CARGAS SOCIALES</v>
      </c>
    </row>
    <row r="76" spans="1:28" x14ac:dyDescent="0.25">
      <c r="A76" s="21">
        <v>5110502</v>
      </c>
      <c r="B76" s="21" t="s">
        <v>27</v>
      </c>
      <c r="C76" s="11">
        <v>41</v>
      </c>
      <c r="D76" s="12">
        <v>3885.3539999999998</v>
      </c>
      <c r="E76" s="13"/>
      <c r="F76">
        <v>21140118</v>
      </c>
      <c r="G76" t="s">
        <v>73</v>
      </c>
      <c r="H76">
        <v>137</v>
      </c>
      <c r="I76">
        <v>1</v>
      </c>
      <c r="L76">
        <v>88888</v>
      </c>
      <c r="M76" s="1">
        <f t="shared" si="22"/>
        <v>75</v>
      </c>
      <c r="N76" s="2">
        <f t="shared" si="23"/>
        <v>43861</v>
      </c>
      <c r="O76" t="s">
        <v>159</v>
      </c>
      <c r="P76">
        <f t="shared" si="32"/>
        <v>1030</v>
      </c>
      <c r="Q76" s="5">
        <f t="shared" si="24"/>
        <v>42</v>
      </c>
      <c r="R76" s="4">
        <f t="shared" si="25"/>
        <v>5869.6083333333336</v>
      </c>
      <c r="T76" s="4">
        <f t="shared" si="26"/>
        <v>0</v>
      </c>
      <c r="U76">
        <f t="shared" si="27"/>
        <v>0</v>
      </c>
      <c r="V76">
        <f t="shared" si="28"/>
        <v>40</v>
      </c>
      <c r="W76" t="str">
        <f t="shared" si="29"/>
        <v xml:space="preserve">SAC PTE-DE LIQ.                         </v>
      </c>
      <c r="X76">
        <f t="shared" si="30"/>
        <v>15</v>
      </c>
      <c r="Y76" t="str">
        <f t="shared" si="31"/>
        <v xml:space="preserve"> </v>
      </c>
      <c r="AB76" t="str">
        <f t="shared" si="33"/>
        <v>SAC PTE-DE LIQ.</v>
      </c>
    </row>
    <row r="77" spans="1:28" x14ac:dyDescent="0.25">
      <c r="A77" s="21">
        <v>5110503</v>
      </c>
      <c r="B77" s="21" t="s">
        <v>28</v>
      </c>
      <c r="C77" s="11">
        <v>42</v>
      </c>
      <c r="D77" s="12">
        <v>5869.6083333333336</v>
      </c>
      <c r="E77" s="13"/>
      <c r="F77">
        <v>21140119</v>
      </c>
      <c r="G77" t="s">
        <v>74</v>
      </c>
      <c r="H77">
        <v>138</v>
      </c>
      <c r="I77">
        <v>1</v>
      </c>
      <c r="L77">
        <v>88888</v>
      </c>
      <c r="M77" s="1">
        <f t="shared" si="22"/>
        <v>76</v>
      </c>
      <c r="N77" s="2">
        <f t="shared" si="23"/>
        <v>43861</v>
      </c>
      <c r="O77" t="s">
        <v>143</v>
      </c>
      <c r="P77">
        <f t="shared" si="32"/>
        <v>1029</v>
      </c>
      <c r="Q77" s="5">
        <f t="shared" si="24"/>
        <v>42</v>
      </c>
      <c r="R77" s="4">
        <f t="shared" si="25"/>
        <v>2113.0590000000002</v>
      </c>
      <c r="T77" s="4">
        <f t="shared" si="26"/>
        <v>0</v>
      </c>
      <c r="U77">
        <f t="shared" si="27"/>
        <v>0</v>
      </c>
      <c r="V77">
        <f t="shared" si="28"/>
        <v>40</v>
      </c>
      <c r="W77" t="str">
        <f t="shared" si="29"/>
        <v xml:space="preserve">CARGAS SOCIALES                         </v>
      </c>
      <c r="X77">
        <f t="shared" si="30"/>
        <v>15</v>
      </c>
      <c r="Y77" t="str">
        <f t="shared" si="31"/>
        <v xml:space="preserve"> </v>
      </c>
      <c r="AB77" t="str">
        <f t="shared" si="33"/>
        <v>CARGAS SOCIALES</v>
      </c>
    </row>
    <row r="78" spans="1:28" x14ac:dyDescent="0.25">
      <c r="A78" s="21">
        <v>5110502</v>
      </c>
      <c r="B78" s="21" t="s">
        <v>27</v>
      </c>
      <c r="C78" s="11">
        <v>42</v>
      </c>
      <c r="D78" s="12">
        <v>2113.0590000000002</v>
      </c>
      <c r="E78" s="13"/>
      <c r="F78">
        <v>21140120</v>
      </c>
      <c r="G78" t="s">
        <v>75</v>
      </c>
      <c r="H78">
        <v>139</v>
      </c>
      <c r="I78">
        <v>1</v>
      </c>
      <c r="L78">
        <v>88888</v>
      </c>
      <c r="M78" s="1">
        <f t="shared" si="22"/>
        <v>77</v>
      </c>
      <c r="N78" s="2">
        <f t="shared" si="23"/>
        <v>43861</v>
      </c>
      <c r="O78" t="s">
        <v>159</v>
      </c>
      <c r="P78">
        <f t="shared" si="32"/>
        <v>1030</v>
      </c>
      <c r="Q78" s="5">
        <f t="shared" si="24"/>
        <v>43</v>
      </c>
      <c r="R78" s="4">
        <f t="shared" si="25"/>
        <v>29827.768333333333</v>
      </c>
      <c r="T78" s="4">
        <f t="shared" si="26"/>
        <v>0</v>
      </c>
      <c r="U78">
        <f t="shared" si="27"/>
        <v>0</v>
      </c>
      <c r="V78">
        <f t="shared" si="28"/>
        <v>40</v>
      </c>
      <c r="W78" t="str">
        <f t="shared" si="29"/>
        <v xml:space="preserve">SAC PTE-DE LIQ.                         </v>
      </c>
      <c r="X78">
        <f t="shared" si="30"/>
        <v>15</v>
      </c>
      <c r="Y78" t="str">
        <f t="shared" si="31"/>
        <v xml:space="preserve"> </v>
      </c>
      <c r="AB78" t="str">
        <f t="shared" si="33"/>
        <v>SAC PTE-DE LIQ.</v>
      </c>
    </row>
    <row r="79" spans="1:28" x14ac:dyDescent="0.25">
      <c r="A79" s="21">
        <v>5110503</v>
      </c>
      <c r="B79" s="21" t="s">
        <v>28</v>
      </c>
      <c r="C79" s="11">
        <v>43</v>
      </c>
      <c r="D79" s="12">
        <v>29827.768333333333</v>
      </c>
      <c r="E79" s="13"/>
      <c r="F79">
        <v>21140121</v>
      </c>
      <c r="G79" t="s">
        <v>76</v>
      </c>
      <c r="H79">
        <v>141</v>
      </c>
      <c r="I79">
        <v>1</v>
      </c>
      <c r="L79">
        <v>88888</v>
      </c>
      <c r="M79" s="1">
        <f t="shared" si="22"/>
        <v>78</v>
      </c>
      <c r="N79" s="2">
        <f t="shared" si="23"/>
        <v>43861</v>
      </c>
      <c r="O79" t="s">
        <v>143</v>
      </c>
      <c r="P79">
        <f t="shared" si="32"/>
        <v>1029</v>
      </c>
      <c r="Q79" s="5">
        <f t="shared" si="24"/>
        <v>43</v>
      </c>
      <c r="R79" s="4">
        <f t="shared" si="25"/>
        <v>10737.996599999999</v>
      </c>
      <c r="T79" s="4">
        <f t="shared" si="26"/>
        <v>0</v>
      </c>
      <c r="U79">
        <f t="shared" si="27"/>
        <v>0</v>
      </c>
      <c r="V79">
        <f t="shared" si="28"/>
        <v>40</v>
      </c>
      <c r="W79" t="str">
        <f t="shared" si="29"/>
        <v xml:space="preserve">CARGAS SOCIALES                         </v>
      </c>
      <c r="X79">
        <f t="shared" si="30"/>
        <v>15</v>
      </c>
      <c r="Y79" t="str">
        <f t="shared" si="31"/>
        <v xml:space="preserve"> </v>
      </c>
      <c r="AB79" t="str">
        <f t="shared" si="33"/>
        <v>CARGAS SOCIALES</v>
      </c>
    </row>
    <row r="80" spans="1:28" x14ac:dyDescent="0.25">
      <c r="A80" s="21">
        <v>5110502</v>
      </c>
      <c r="B80" s="21" t="s">
        <v>27</v>
      </c>
      <c r="C80" s="11">
        <v>43</v>
      </c>
      <c r="D80" s="12">
        <v>10737.996599999999</v>
      </c>
      <c r="E80" s="13"/>
      <c r="F80">
        <v>21140122</v>
      </c>
      <c r="G80" t="s">
        <v>77</v>
      </c>
      <c r="H80">
        <v>142</v>
      </c>
      <c r="I80">
        <v>1</v>
      </c>
      <c r="L80">
        <v>88888</v>
      </c>
      <c r="M80" s="1">
        <f t="shared" si="22"/>
        <v>79</v>
      </c>
      <c r="N80" s="2">
        <f t="shared" si="23"/>
        <v>43861</v>
      </c>
      <c r="O80" t="s">
        <v>159</v>
      </c>
      <c r="P80">
        <f t="shared" si="32"/>
        <v>1030</v>
      </c>
      <c r="Q80" s="5">
        <f t="shared" si="24"/>
        <v>44</v>
      </c>
      <c r="R80" s="4">
        <f t="shared" si="25"/>
        <v>61807.575000000004</v>
      </c>
      <c r="T80" s="4">
        <f t="shared" si="26"/>
        <v>0</v>
      </c>
      <c r="U80">
        <f t="shared" si="27"/>
        <v>0</v>
      </c>
      <c r="V80">
        <f t="shared" si="28"/>
        <v>40</v>
      </c>
      <c r="W80" t="str">
        <f t="shared" si="29"/>
        <v xml:space="preserve">SAC PTE-DE LIQ.                         </v>
      </c>
      <c r="X80">
        <f t="shared" si="30"/>
        <v>15</v>
      </c>
      <c r="Y80" t="str">
        <f t="shared" si="31"/>
        <v xml:space="preserve"> </v>
      </c>
      <c r="AB80" t="str">
        <f t="shared" si="33"/>
        <v>SAC PTE-DE LIQ.</v>
      </c>
    </row>
    <row r="81" spans="1:28" x14ac:dyDescent="0.25">
      <c r="A81" s="21">
        <v>5110503</v>
      </c>
      <c r="B81" s="21" t="s">
        <v>28</v>
      </c>
      <c r="C81" s="11">
        <v>44</v>
      </c>
      <c r="D81" s="12">
        <v>61807.575000000004</v>
      </c>
      <c r="E81" s="13"/>
      <c r="F81">
        <v>21140123</v>
      </c>
      <c r="G81" t="s">
        <v>78</v>
      </c>
      <c r="H81">
        <v>143</v>
      </c>
      <c r="I81">
        <v>1</v>
      </c>
      <c r="L81">
        <v>88888</v>
      </c>
      <c r="M81" s="1">
        <f t="shared" si="22"/>
        <v>80</v>
      </c>
      <c r="N81" s="2">
        <f t="shared" si="23"/>
        <v>43861</v>
      </c>
      <c r="O81" t="s">
        <v>143</v>
      </c>
      <c r="P81">
        <f t="shared" si="32"/>
        <v>1029</v>
      </c>
      <c r="Q81" s="5">
        <f t="shared" si="24"/>
        <v>44</v>
      </c>
      <c r="R81" s="4">
        <f t="shared" si="25"/>
        <v>22250.726999999999</v>
      </c>
      <c r="T81" s="4">
        <f t="shared" si="26"/>
        <v>0</v>
      </c>
      <c r="U81">
        <f t="shared" si="27"/>
        <v>0</v>
      </c>
      <c r="V81">
        <f t="shared" si="28"/>
        <v>40</v>
      </c>
      <c r="W81" t="str">
        <f t="shared" si="29"/>
        <v xml:space="preserve">CARGAS SOCIALES                         </v>
      </c>
      <c r="X81">
        <f t="shared" si="30"/>
        <v>15</v>
      </c>
      <c r="Y81" t="str">
        <f t="shared" si="31"/>
        <v xml:space="preserve"> </v>
      </c>
      <c r="AB81" t="str">
        <f t="shared" si="33"/>
        <v>CARGAS SOCIALES</v>
      </c>
    </row>
    <row r="82" spans="1:28" x14ac:dyDescent="0.25">
      <c r="A82" s="21">
        <v>5110502</v>
      </c>
      <c r="B82" s="21" t="s">
        <v>27</v>
      </c>
      <c r="C82" s="11">
        <v>44</v>
      </c>
      <c r="D82" s="12">
        <v>22250.726999999999</v>
      </c>
      <c r="E82" s="13"/>
      <c r="F82">
        <v>21140124</v>
      </c>
      <c r="G82" t="s">
        <v>79</v>
      </c>
      <c r="H82">
        <v>144</v>
      </c>
      <c r="I82">
        <v>1</v>
      </c>
      <c r="L82">
        <v>88888</v>
      </c>
      <c r="M82" s="1">
        <f t="shared" si="22"/>
        <v>81</v>
      </c>
      <c r="N82" s="2">
        <f t="shared" si="23"/>
        <v>43861</v>
      </c>
      <c r="O82" t="s">
        <v>159</v>
      </c>
      <c r="P82">
        <f t="shared" si="32"/>
        <v>1030</v>
      </c>
      <c r="Q82" s="5">
        <f t="shared" si="24"/>
        <v>63</v>
      </c>
      <c r="R82" s="4">
        <f t="shared" si="25"/>
        <v>46496.89</v>
      </c>
      <c r="T82" s="4">
        <f t="shared" si="26"/>
        <v>0</v>
      </c>
      <c r="U82">
        <f t="shared" si="27"/>
        <v>0</v>
      </c>
      <c r="V82">
        <f t="shared" si="28"/>
        <v>40</v>
      </c>
      <c r="W82" t="str">
        <f t="shared" si="29"/>
        <v xml:space="preserve">SAC PTE-DE LIQ.                         </v>
      </c>
      <c r="X82">
        <f t="shared" si="30"/>
        <v>15</v>
      </c>
      <c r="Y82" t="str">
        <f t="shared" si="31"/>
        <v xml:space="preserve"> </v>
      </c>
      <c r="AB82" t="str">
        <f t="shared" si="33"/>
        <v>SAC PTE-DE LIQ.</v>
      </c>
    </row>
    <row r="83" spans="1:28" x14ac:dyDescent="0.25">
      <c r="A83" s="21">
        <v>5110503</v>
      </c>
      <c r="B83" s="21" t="s">
        <v>28</v>
      </c>
      <c r="C83" s="11">
        <v>63</v>
      </c>
      <c r="D83" s="12">
        <v>46496.89</v>
      </c>
      <c r="E83" s="13"/>
      <c r="F83">
        <v>21140125</v>
      </c>
      <c r="G83" t="s">
        <v>80</v>
      </c>
      <c r="H83">
        <v>145</v>
      </c>
      <c r="I83">
        <v>1</v>
      </c>
      <c r="L83">
        <v>88888</v>
      </c>
      <c r="M83" s="1">
        <f t="shared" si="22"/>
        <v>82</v>
      </c>
      <c r="N83" s="2">
        <f t="shared" si="23"/>
        <v>43861</v>
      </c>
      <c r="O83" t="s">
        <v>143</v>
      </c>
      <c r="P83">
        <f t="shared" si="32"/>
        <v>1029</v>
      </c>
      <c r="Q83" s="5">
        <f t="shared" si="24"/>
        <v>63</v>
      </c>
      <c r="R83" s="4">
        <f t="shared" si="25"/>
        <v>16738.880399999998</v>
      </c>
      <c r="T83" s="4">
        <f t="shared" si="26"/>
        <v>0</v>
      </c>
      <c r="U83">
        <f t="shared" si="27"/>
        <v>0</v>
      </c>
      <c r="V83">
        <f t="shared" si="28"/>
        <v>40</v>
      </c>
      <c r="W83" t="str">
        <f t="shared" si="29"/>
        <v xml:space="preserve">CARGAS SOCIALES                         </v>
      </c>
      <c r="X83">
        <f t="shared" si="30"/>
        <v>15</v>
      </c>
      <c r="Y83" t="str">
        <f t="shared" si="31"/>
        <v xml:space="preserve"> </v>
      </c>
      <c r="AB83" t="str">
        <f t="shared" si="33"/>
        <v>CARGAS SOCIALES</v>
      </c>
    </row>
    <row r="84" spans="1:28" x14ac:dyDescent="0.25">
      <c r="A84" s="21">
        <v>5110502</v>
      </c>
      <c r="B84" s="21" t="s">
        <v>27</v>
      </c>
      <c r="C84" s="11">
        <v>63</v>
      </c>
      <c r="D84" s="12">
        <v>16738.880399999998</v>
      </c>
      <c r="E84" s="13"/>
      <c r="F84">
        <v>21140126</v>
      </c>
      <c r="G84" t="s">
        <v>81</v>
      </c>
      <c r="H84">
        <v>146</v>
      </c>
      <c r="I84">
        <v>1</v>
      </c>
      <c r="L84">
        <v>88888</v>
      </c>
      <c r="M84" s="1">
        <f t="shared" si="22"/>
        <v>83</v>
      </c>
      <c r="N84" s="2">
        <f t="shared" si="23"/>
        <v>43861</v>
      </c>
      <c r="O84" t="s">
        <v>159</v>
      </c>
      <c r="P84">
        <f t="shared" si="32"/>
        <v>1030</v>
      </c>
      <c r="Q84" s="5">
        <f t="shared" si="24"/>
        <v>65</v>
      </c>
      <c r="R84" s="4">
        <f t="shared" si="25"/>
        <v>4570.6216666666669</v>
      </c>
      <c r="T84" s="4">
        <f t="shared" si="26"/>
        <v>0</v>
      </c>
      <c r="U84">
        <f t="shared" si="27"/>
        <v>0</v>
      </c>
      <c r="V84">
        <f t="shared" si="28"/>
        <v>40</v>
      </c>
      <c r="W84" t="str">
        <f t="shared" si="29"/>
        <v xml:space="preserve">SAC PTE-DE LIQ.                         </v>
      </c>
      <c r="X84">
        <f t="shared" si="30"/>
        <v>15</v>
      </c>
      <c r="Y84" t="str">
        <f t="shared" si="31"/>
        <v xml:space="preserve"> </v>
      </c>
      <c r="AB84" t="str">
        <f t="shared" si="33"/>
        <v>SAC PTE-DE LIQ.</v>
      </c>
    </row>
    <row r="85" spans="1:28" x14ac:dyDescent="0.25">
      <c r="A85" s="21">
        <v>5110503</v>
      </c>
      <c r="B85" s="21" t="s">
        <v>28</v>
      </c>
      <c r="C85" s="11">
        <v>65</v>
      </c>
      <c r="D85" s="12">
        <v>4570.6216666666669</v>
      </c>
      <c r="E85" s="13"/>
      <c r="F85">
        <v>21140127</v>
      </c>
      <c r="G85" t="s">
        <v>82</v>
      </c>
      <c r="H85">
        <v>147</v>
      </c>
      <c r="I85">
        <v>1</v>
      </c>
      <c r="L85">
        <v>88888</v>
      </c>
      <c r="M85" s="1">
        <f t="shared" si="22"/>
        <v>84</v>
      </c>
      <c r="N85" s="2">
        <f t="shared" si="23"/>
        <v>43861</v>
      </c>
      <c r="O85" t="s">
        <v>143</v>
      </c>
      <c r="P85">
        <f t="shared" si="32"/>
        <v>1029</v>
      </c>
      <c r="Q85" s="5">
        <f t="shared" si="24"/>
        <v>65</v>
      </c>
      <c r="R85" s="4">
        <f t="shared" si="25"/>
        <v>1645.4238</v>
      </c>
      <c r="T85" s="4">
        <f t="shared" si="26"/>
        <v>0</v>
      </c>
      <c r="U85">
        <f t="shared" si="27"/>
        <v>0</v>
      </c>
      <c r="V85">
        <f t="shared" si="28"/>
        <v>40</v>
      </c>
      <c r="W85" t="str">
        <f t="shared" si="29"/>
        <v xml:space="preserve">CARGAS SOCIALES                         </v>
      </c>
      <c r="X85">
        <f t="shared" si="30"/>
        <v>15</v>
      </c>
      <c r="Y85" t="str">
        <f t="shared" si="31"/>
        <v xml:space="preserve"> </v>
      </c>
      <c r="AB85" t="str">
        <f t="shared" si="33"/>
        <v>CARGAS SOCIALES</v>
      </c>
    </row>
    <row r="86" spans="1:28" x14ac:dyDescent="0.25">
      <c r="A86" s="14">
        <v>5110502</v>
      </c>
      <c r="B86" s="14" t="s">
        <v>27</v>
      </c>
      <c r="C86" s="11">
        <v>65</v>
      </c>
      <c r="D86" s="12">
        <v>1645.4238</v>
      </c>
      <c r="E86" s="13"/>
      <c r="F86">
        <v>21140128</v>
      </c>
      <c r="G86" t="s">
        <v>83</v>
      </c>
      <c r="H86">
        <v>148</v>
      </c>
      <c r="I86">
        <v>1</v>
      </c>
      <c r="L86">
        <v>88888</v>
      </c>
      <c r="M86" s="1">
        <f t="shared" si="22"/>
        <v>85</v>
      </c>
      <c r="N86" s="2">
        <f t="shared" si="23"/>
        <v>43861</v>
      </c>
      <c r="O86" t="s">
        <v>160</v>
      </c>
      <c r="P86">
        <f t="shared" si="32"/>
        <v>185</v>
      </c>
      <c r="Q86" s="5">
        <f t="shared" si="24"/>
        <v>1</v>
      </c>
      <c r="R86" s="4">
        <f t="shared" si="25"/>
        <v>0</v>
      </c>
      <c r="T86" s="4">
        <f t="shared" si="26"/>
        <v>2901256.3983222218</v>
      </c>
      <c r="U86">
        <f t="shared" si="27"/>
        <v>0</v>
      </c>
      <c r="V86">
        <f t="shared" si="28"/>
        <v>40</v>
      </c>
      <c r="W86" t="str">
        <f t="shared" si="29"/>
        <v xml:space="preserve">SAC. DEVENGADO A PAGAR                  </v>
      </c>
      <c r="X86">
        <f t="shared" si="30"/>
        <v>22</v>
      </c>
      <c r="Y86" t="str">
        <f t="shared" si="31"/>
        <v xml:space="preserve"> </v>
      </c>
      <c r="AB86" t="str">
        <f t="shared" si="33"/>
        <v>SAC. DEVENGADO A PAGAR</v>
      </c>
    </row>
    <row r="87" spans="1:28" x14ac:dyDescent="0.25">
      <c r="A87" s="14">
        <v>211408</v>
      </c>
      <c r="B87" s="14" t="s">
        <v>17</v>
      </c>
      <c r="C87" s="11">
        <v>1</v>
      </c>
      <c r="D87" s="12"/>
      <c r="E87" s="13">
        <v>2901256.3983222218</v>
      </c>
      <c r="F87">
        <v>21140129</v>
      </c>
      <c r="G87" t="s">
        <v>84</v>
      </c>
      <c r="H87">
        <v>150</v>
      </c>
      <c r="I87">
        <v>1</v>
      </c>
      <c r="L87">
        <v>88888</v>
      </c>
      <c r="M87" s="1">
        <f t="shared" si="22"/>
        <v>86</v>
      </c>
      <c r="N87" s="2">
        <f t="shared" ref="N87:N103" si="34">+A$1</f>
        <v>43861</v>
      </c>
      <c r="O87" t="s">
        <v>160</v>
      </c>
      <c r="P87" t="e">
        <f t="shared" ref="P87:P103" si="35">LOOKUP(A88,F$2:F$153,H$2:H$153)</f>
        <v>#N/A</v>
      </c>
      <c r="Q87" s="5">
        <f t="shared" ref="Q87:Q103" si="36">+C88</f>
        <v>0</v>
      </c>
      <c r="R87" s="4">
        <f t="shared" ref="R87:R103" si="37">+D88</f>
        <v>0</v>
      </c>
      <c r="T87" s="4">
        <f t="shared" ref="T87:T103" si="38">+E88</f>
        <v>0</v>
      </c>
      <c r="U87">
        <f t="shared" ref="U87:U103" si="39">LEN(S87)</f>
        <v>0</v>
      </c>
      <c r="V87">
        <f t="shared" ref="V87:V103" si="40">LEN(O87)</f>
        <v>40</v>
      </c>
      <c r="W87" t="e">
        <f t="shared" ref="W87:W103" si="41">AB87 &amp; REPT(" ",(40-X87))</f>
        <v>#N/A</v>
      </c>
      <c r="X87" t="e">
        <f t="shared" ref="X87:X103" si="42">LEN(AB87)</f>
        <v>#N/A</v>
      </c>
      <c r="Y87" t="str">
        <f t="shared" ref="Y87:Y103" si="43">S87 &amp; REPT(" ",(1-U87))</f>
        <v xml:space="preserve"> </v>
      </c>
      <c r="AB87" t="e">
        <f t="shared" ref="AB87:AB103" si="44">LOOKUP(A88,F$2:F$153,G$2:G$153)</f>
        <v>#N/A</v>
      </c>
    </row>
    <row r="88" spans="1:28" x14ac:dyDescent="0.25">
      <c r="A88" s="14"/>
      <c r="B88" s="14"/>
      <c r="D88" s="12"/>
      <c r="E88" s="13"/>
      <c r="F88">
        <v>21140130</v>
      </c>
      <c r="G88" t="s">
        <v>85</v>
      </c>
      <c r="H88">
        <v>149</v>
      </c>
      <c r="I88">
        <v>1</v>
      </c>
      <c r="L88">
        <v>88888</v>
      </c>
      <c r="M88" s="1">
        <f t="shared" si="22"/>
        <v>87</v>
      </c>
      <c r="N88" s="2">
        <f t="shared" si="34"/>
        <v>43861</v>
      </c>
      <c r="O88" t="s">
        <v>160</v>
      </c>
      <c r="P88" t="e">
        <f t="shared" si="35"/>
        <v>#N/A</v>
      </c>
      <c r="Q88" s="5">
        <f t="shared" si="36"/>
        <v>0</v>
      </c>
      <c r="R88" s="4">
        <f t="shared" si="37"/>
        <v>0</v>
      </c>
      <c r="T88" s="4">
        <f t="shared" si="38"/>
        <v>0</v>
      </c>
      <c r="U88">
        <f t="shared" si="39"/>
        <v>0</v>
      </c>
      <c r="V88">
        <f t="shared" si="40"/>
        <v>40</v>
      </c>
      <c r="W88" t="e">
        <f t="shared" si="41"/>
        <v>#N/A</v>
      </c>
      <c r="X88" t="e">
        <f t="shared" si="42"/>
        <v>#N/A</v>
      </c>
      <c r="Y88" t="str">
        <f t="shared" si="43"/>
        <v xml:space="preserve"> </v>
      </c>
      <c r="AB88" t="e">
        <f t="shared" si="44"/>
        <v>#N/A</v>
      </c>
    </row>
    <row r="89" spans="1:28" x14ac:dyDescent="0.25">
      <c r="A89" s="14"/>
      <c r="B89" s="14"/>
      <c r="D89" s="12"/>
      <c r="E89" s="13"/>
      <c r="F89">
        <v>21140131</v>
      </c>
      <c r="G89" t="s">
        <v>86</v>
      </c>
      <c r="H89">
        <v>152</v>
      </c>
      <c r="I89">
        <v>1</v>
      </c>
      <c r="L89">
        <v>88888</v>
      </c>
      <c r="M89" s="1">
        <f t="shared" si="22"/>
        <v>88</v>
      </c>
      <c r="N89" s="2">
        <f t="shared" si="34"/>
        <v>43861</v>
      </c>
      <c r="O89" t="s">
        <v>160</v>
      </c>
      <c r="P89" t="e">
        <f t="shared" si="35"/>
        <v>#N/A</v>
      </c>
      <c r="Q89" s="5">
        <f t="shared" si="36"/>
        <v>0</v>
      </c>
      <c r="R89" s="4">
        <f t="shared" si="37"/>
        <v>0</v>
      </c>
      <c r="T89" s="4">
        <f t="shared" si="38"/>
        <v>0</v>
      </c>
      <c r="U89">
        <f t="shared" si="39"/>
        <v>0</v>
      </c>
      <c r="V89">
        <f t="shared" si="40"/>
        <v>40</v>
      </c>
      <c r="W89" t="e">
        <f t="shared" si="41"/>
        <v>#N/A</v>
      </c>
      <c r="X89" t="e">
        <f t="shared" si="42"/>
        <v>#N/A</v>
      </c>
      <c r="Y89" t="str">
        <f t="shared" si="43"/>
        <v xml:space="preserve"> </v>
      </c>
      <c r="AB89" t="e">
        <f t="shared" si="44"/>
        <v>#N/A</v>
      </c>
    </row>
    <row r="90" spans="1:28" x14ac:dyDescent="0.25">
      <c r="A90" s="14"/>
      <c r="B90" s="14"/>
      <c r="D90" s="12"/>
      <c r="E90" s="13"/>
      <c r="F90">
        <v>21140132</v>
      </c>
      <c r="G90" t="s">
        <v>87</v>
      </c>
      <c r="H90">
        <v>153</v>
      </c>
      <c r="I90">
        <v>1</v>
      </c>
      <c r="L90">
        <v>88888</v>
      </c>
      <c r="M90" s="1">
        <f t="shared" si="22"/>
        <v>89</v>
      </c>
      <c r="N90" s="2">
        <f t="shared" si="34"/>
        <v>43861</v>
      </c>
      <c r="O90" t="s">
        <v>160</v>
      </c>
      <c r="P90" t="e">
        <f t="shared" si="35"/>
        <v>#N/A</v>
      </c>
      <c r="Q90" s="5">
        <f t="shared" si="36"/>
        <v>0</v>
      </c>
      <c r="R90" s="4">
        <f t="shared" si="37"/>
        <v>0</v>
      </c>
      <c r="T90" s="4">
        <f t="shared" si="38"/>
        <v>0</v>
      </c>
      <c r="U90">
        <f t="shared" si="39"/>
        <v>0</v>
      </c>
      <c r="V90">
        <f t="shared" si="40"/>
        <v>40</v>
      </c>
      <c r="W90" t="e">
        <f t="shared" si="41"/>
        <v>#N/A</v>
      </c>
      <c r="X90" t="e">
        <f t="shared" si="42"/>
        <v>#N/A</v>
      </c>
      <c r="Y90" t="str">
        <f t="shared" si="43"/>
        <v xml:space="preserve"> </v>
      </c>
      <c r="AB90" t="e">
        <f t="shared" si="44"/>
        <v>#N/A</v>
      </c>
    </row>
    <row r="91" spans="1:28" x14ac:dyDescent="0.25">
      <c r="A91" s="14"/>
      <c r="B91" s="14"/>
      <c r="D91" s="12"/>
      <c r="E91" s="13"/>
      <c r="F91">
        <v>21140133</v>
      </c>
      <c r="G91" t="s">
        <v>88</v>
      </c>
      <c r="H91">
        <v>154</v>
      </c>
      <c r="I91">
        <v>1</v>
      </c>
      <c r="L91">
        <v>88888</v>
      </c>
      <c r="M91" s="1">
        <f t="shared" si="22"/>
        <v>90</v>
      </c>
      <c r="N91" s="2">
        <f t="shared" si="34"/>
        <v>43861</v>
      </c>
      <c r="O91" t="s">
        <v>160</v>
      </c>
      <c r="P91" t="e">
        <f t="shared" si="35"/>
        <v>#N/A</v>
      </c>
      <c r="Q91" s="5">
        <f t="shared" si="36"/>
        <v>0</v>
      </c>
      <c r="R91" s="4">
        <f t="shared" si="37"/>
        <v>0</v>
      </c>
      <c r="T91" s="4">
        <f t="shared" si="38"/>
        <v>0</v>
      </c>
      <c r="U91">
        <f t="shared" si="39"/>
        <v>0</v>
      </c>
      <c r="V91">
        <f t="shared" si="40"/>
        <v>40</v>
      </c>
      <c r="W91" t="e">
        <f t="shared" si="41"/>
        <v>#N/A</v>
      </c>
      <c r="X91" t="e">
        <f t="shared" si="42"/>
        <v>#N/A</v>
      </c>
      <c r="Y91" t="str">
        <f t="shared" si="43"/>
        <v xml:space="preserve"> </v>
      </c>
      <c r="AB91" t="e">
        <f t="shared" si="44"/>
        <v>#N/A</v>
      </c>
    </row>
    <row r="92" spans="1:28" x14ac:dyDescent="0.25">
      <c r="A92" s="14"/>
      <c r="B92" s="14"/>
      <c r="D92" s="12"/>
      <c r="E92" s="13"/>
      <c r="F92">
        <v>21140134</v>
      </c>
      <c r="G92" t="s">
        <v>89</v>
      </c>
      <c r="H92">
        <v>155</v>
      </c>
      <c r="I92">
        <v>1</v>
      </c>
      <c r="L92">
        <v>88888</v>
      </c>
      <c r="M92" s="1">
        <f t="shared" si="22"/>
        <v>91</v>
      </c>
      <c r="N92" s="2">
        <f t="shared" si="34"/>
        <v>43861</v>
      </c>
      <c r="O92" t="s">
        <v>160</v>
      </c>
      <c r="P92" t="e">
        <f t="shared" si="35"/>
        <v>#N/A</v>
      </c>
      <c r="Q92" s="5">
        <f t="shared" si="36"/>
        <v>0</v>
      </c>
      <c r="R92" s="4">
        <f t="shared" si="37"/>
        <v>0</v>
      </c>
      <c r="T92" s="4">
        <f t="shared" si="38"/>
        <v>0</v>
      </c>
      <c r="U92">
        <f t="shared" si="39"/>
        <v>0</v>
      </c>
      <c r="V92">
        <f t="shared" si="40"/>
        <v>40</v>
      </c>
      <c r="W92" t="e">
        <f t="shared" si="41"/>
        <v>#N/A</v>
      </c>
      <c r="X92" t="e">
        <f t="shared" si="42"/>
        <v>#N/A</v>
      </c>
      <c r="Y92" t="str">
        <f t="shared" si="43"/>
        <v xml:space="preserve"> </v>
      </c>
      <c r="AB92" t="e">
        <f t="shared" si="44"/>
        <v>#N/A</v>
      </c>
    </row>
    <row r="93" spans="1:28" x14ac:dyDescent="0.25">
      <c r="A93" s="14"/>
      <c r="B93" s="14"/>
      <c r="D93" s="12"/>
      <c r="E93" s="13"/>
      <c r="F93">
        <v>21140135</v>
      </c>
      <c r="G93" t="s">
        <v>90</v>
      </c>
      <c r="H93">
        <v>156</v>
      </c>
      <c r="I93">
        <v>1</v>
      </c>
      <c r="L93">
        <v>88888</v>
      </c>
      <c r="M93" s="1">
        <f t="shared" si="22"/>
        <v>92</v>
      </c>
      <c r="N93" s="2">
        <f t="shared" si="34"/>
        <v>43861</v>
      </c>
      <c r="O93" t="s">
        <v>160</v>
      </c>
      <c r="P93" t="e">
        <f t="shared" si="35"/>
        <v>#N/A</v>
      </c>
      <c r="Q93" s="5">
        <f t="shared" si="36"/>
        <v>0</v>
      </c>
      <c r="R93" s="4">
        <f t="shared" si="37"/>
        <v>0</v>
      </c>
      <c r="T93" s="4">
        <f t="shared" si="38"/>
        <v>0</v>
      </c>
      <c r="U93">
        <f t="shared" si="39"/>
        <v>0</v>
      </c>
      <c r="V93">
        <f t="shared" si="40"/>
        <v>40</v>
      </c>
      <c r="W93" t="e">
        <f t="shared" si="41"/>
        <v>#N/A</v>
      </c>
      <c r="X93" t="e">
        <f t="shared" si="42"/>
        <v>#N/A</v>
      </c>
      <c r="Y93" t="str">
        <f t="shared" si="43"/>
        <v xml:space="preserve"> </v>
      </c>
      <c r="AB93" t="e">
        <f t="shared" si="44"/>
        <v>#N/A</v>
      </c>
    </row>
    <row r="94" spans="1:28" x14ac:dyDescent="0.25">
      <c r="A94" s="14"/>
      <c r="B94" s="14"/>
      <c r="D94" s="12"/>
      <c r="E94" s="13"/>
      <c r="F94">
        <v>21140136</v>
      </c>
      <c r="G94" t="s">
        <v>91</v>
      </c>
      <c r="H94">
        <v>157</v>
      </c>
      <c r="I94">
        <v>1</v>
      </c>
      <c r="L94">
        <v>88888</v>
      </c>
      <c r="M94" s="1">
        <f t="shared" si="22"/>
        <v>93</v>
      </c>
      <c r="N94" s="2">
        <f t="shared" si="34"/>
        <v>43861</v>
      </c>
      <c r="O94" t="s">
        <v>160</v>
      </c>
      <c r="P94" t="e">
        <f t="shared" si="35"/>
        <v>#N/A</v>
      </c>
      <c r="Q94" s="5">
        <f t="shared" si="36"/>
        <v>0</v>
      </c>
      <c r="R94" s="4">
        <f t="shared" si="37"/>
        <v>0</v>
      </c>
      <c r="T94" s="4">
        <f t="shared" si="38"/>
        <v>0</v>
      </c>
      <c r="U94">
        <f t="shared" si="39"/>
        <v>0</v>
      </c>
      <c r="V94">
        <f t="shared" si="40"/>
        <v>40</v>
      </c>
      <c r="W94" t="e">
        <f t="shared" si="41"/>
        <v>#N/A</v>
      </c>
      <c r="X94" t="e">
        <f t="shared" si="42"/>
        <v>#N/A</v>
      </c>
      <c r="Y94" t="str">
        <f t="shared" si="43"/>
        <v xml:space="preserve"> </v>
      </c>
      <c r="AB94" t="e">
        <f t="shared" si="44"/>
        <v>#N/A</v>
      </c>
    </row>
    <row r="95" spans="1:28" x14ac:dyDescent="0.25">
      <c r="A95" s="14"/>
      <c r="B95" s="14"/>
      <c r="D95" s="12"/>
      <c r="E95" s="13"/>
      <c r="F95">
        <v>21140137</v>
      </c>
      <c r="G95" t="s">
        <v>92</v>
      </c>
      <c r="H95">
        <v>158</v>
      </c>
      <c r="I95">
        <v>1</v>
      </c>
      <c r="L95">
        <v>88888</v>
      </c>
      <c r="M95" s="1">
        <f t="shared" si="22"/>
        <v>94</v>
      </c>
      <c r="N95" s="2">
        <f t="shared" si="34"/>
        <v>43861</v>
      </c>
      <c r="O95" t="s">
        <v>160</v>
      </c>
      <c r="P95" t="e">
        <f t="shared" si="35"/>
        <v>#N/A</v>
      </c>
      <c r="Q95" s="5">
        <f t="shared" si="36"/>
        <v>0</v>
      </c>
      <c r="R95" s="4">
        <f t="shared" si="37"/>
        <v>0</v>
      </c>
      <c r="T95" s="4">
        <f t="shared" si="38"/>
        <v>0</v>
      </c>
      <c r="U95">
        <f t="shared" si="39"/>
        <v>0</v>
      </c>
      <c r="V95">
        <f t="shared" si="40"/>
        <v>40</v>
      </c>
      <c r="W95" t="e">
        <f t="shared" si="41"/>
        <v>#N/A</v>
      </c>
      <c r="X95" t="e">
        <f t="shared" si="42"/>
        <v>#N/A</v>
      </c>
      <c r="Y95" t="str">
        <f t="shared" si="43"/>
        <v xml:space="preserve"> </v>
      </c>
      <c r="AB95" t="e">
        <f t="shared" si="44"/>
        <v>#N/A</v>
      </c>
    </row>
    <row r="96" spans="1:28" x14ac:dyDescent="0.25">
      <c r="A96" s="14"/>
      <c r="B96" s="14"/>
      <c r="D96" s="12"/>
      <c r="E96" s="13"/>
      <c r="F96">
        <v>21140138</v>
      </c>
      <c r="G96" t="s">
        <v>93</v>
      </c>
      <c r="H96">
        <v>159</v>
      </c>
      <c r="I96">
        <v>1</v>
      </c>
      <c r="L96">
        <v>88888</v>
      </c>
      <c r="M96" s="1">
        <f t="shared" si="22"/>
        <v>95</v>
      </c>
      <c r="N96" s="2">
        <f t="shared" si="34"/>
        <v>43861</v>
      </c>
      <c r="O96" t="s">
        <v>160</v>
      </c>
      <c r="P96" t="e">
        <f t="shared" si="35"/>
        <v>#N/A</v>
      </c>
      <c r="Q96" s="5">
        <f t="shared" si="36"/>
        <v>0</v>
      </c>
      <c r="R96" s="4">
        <f t="shared" si="37"/>
        <v>0</v>
      </c>
      <c r="T96" s="4">
        <f t="shared" si="38"/>
        <v>0</v>
      </c>
      <c r="U96">
        <f t="shared" si="39"/>
        <v>0</v>
      </c>
      <c r="V96">
        <f t="shared" si="40"/>
        <v>40</v>
      </c>
      <c r="W96" t="e">
        <f t="shared" si="41"/>
        <v>#N/A</v>
      </c>
      <c r="X96" t="e">
        <f t="shared" si="42"/>
        <v>#N/A</v>
      </c>
      <c r="Y96" t="str">
        <f t="shared" si="43"/>
        <v xml:space="preserve"> </v>
      </c>
      <c r="AB96" t="e">
        <f t="shared" si="44"/>
        <v>#N/A</v>
      </c>
    </row>
    <row r="97" spans="1:28" x14ac:dyDescent="0.25">
      <c r="A97" s="14"/>
      <c r="B97" s="14"/>
      <c r="D97" s="12"/>
      <c r="E97" s="13"/>
      <c r="F97">
        <v>21140139</v>
      </c>
      <c r="G97" t="s">
        <v>94</v>
      </c>
      <c r="H97">
        <v>160</v>
      </c>
      <c r="I97">
        <v>1</v>
      </c>
      <c r="L97">
        <v>88888</v>
      </c>
      <c r="M97" s="1">
        <f t="shared" si="22"/>
        <v>96</v>
      </c>
      <c r="N97" s="2">
        <f t="shared" si="34"/>
        <v>43861</v>
      </c>
      <c r="O97" t="s">
        <v>160</v>
      </c>
      <c r="P97" t="e">
        <f t="shared" si="35"/>
        <v>#N/A</v>
      </c>
      <c r="Q97" s="5">
        <f t="shared" si="36"/>
        <v>0</v>
      </c>
      <c r="R97" s="4">
        <f t="shared" si="37"/>
        <v>0</v>
      </c>
      <c r="T97" s="4">
        <f t="shared" si="38"/>
        <v>0</v>
      </c>
      <c r="U97">
        <f t="shared" si="39"/>
        <v>0</v>
      </c>
      <c r="V97">
        <f t="shared" si="40"/>
        <v>40</v>
      </c>
      <c r="W97" t="e">
        <f t="shared" si="41"/>
        <v>#N/A</v>
      </c>
      <c r="X97" t="e">
        <f t="shared" si="42"/>
        <v>#N/A</v>
      </c>
      <c r="Y97" t="str">
        <f t="shared" si="43"/>
        <v xml:space="preserve"> </v>
      </c>
      <c r="AB97" t="e">
        <f t="shared" si="44"/>
        <v>#N/A</v>
      </c>
    </row>
    <row r="98" spans="1:28" x14ac:dyDescent="0.25">
      <c r="A98" s="14"/>
      <c r="B98" s="14"/>
      <c r="D98" s="12"/>
      <c r="E98" s="13"/>
      <c r="F98">
        <v>21140140</v>
      </c>
      <c r="G98" t="s">
        <v>95</v>
      </c>
      <c r="H98">
        <v>161</v>
      </c>
      <c r="I98">
        <v>1</v>
      </c>
      <c r="L98">
        <v>88888</v>
      </c>
      <c r="M98" s="1">
        <f t="shared" si="22"/>
        <v>97</v>
      </c>
      <c r="N98" s="2">
        <f t="shared" si="34"/>
        <v>43861</v>
      </c>
      <c r="O98" t="s">
        <v>160</v>
      </c>
      <c r="P98" t="e">
        <f t="shared" si="35"/>
        <v>#N/A</v>
      </c>
      <c r="Q98" s="5">
        <f t="shared" si="36"/>
        <v>0</v>
      </c>
      <c r="R98" s="4">
        <f t="shared" si="37"/>
        <v>0</v>
      </c>
      <c r="T98" s="4">
        <f t="shared" si="38"/>
        <v>0</v>
      </c>
      <c r="U98">
        <f t="shared" si="39"/>
        <v>0</v>
      </c>
      <c r="V98">
        <f t="shared" si="40"/>
        <v>40</v>
      </c>
      <c r="W98" t="e">
        <f t="shared" si="41"/>
        <v>#N/A</v>
      </c>
      <c r="X98" t="e">
        <f t="shared" si="42"/>
        <v>#N/A</v>
      </c>
      <c r="Y98" t="str">
        <f t="shared" si="43"/>
        <v xml:space="preserve"> </v>
      </c>
      <c r="AB98" t="e">
        <f t="shared" si="44"/>
        <v>#N/A</v>
      </c>
    </row>
    <row r="99" spans="1:28" x14ac:dyDescent="0.25">
      <c r="A99" s="14"/>
      <c r="B99" s="14"/>
      <c r="D99" s="12"/>
      <c r="E99" s="13"/>
      <c r="F99">
        <v>21140141</v>
      </c>
      <c r="G99" t="s">
        <v>96</v>
      </c>
      <c r="H99">
        <v>162</v>
      </c>
      <c r="I99">
        <v>1</v>
      </c>
      <c r="L99">
        <v>88888</v>
      </c>
      <c r="M99" s="1">
        <f t="shared" si="22"/>
        <v>98</v>
      </c>
      <c r="N99" s="2">
        <f t="shared" si="34"/>
        <v>43861</v>
      </c>
      <c r="O99" t="s">
        <v>160</v>
      </c>
      <c r="P99" t="e">
        <f t="shared" si="35"/>
        <v>#N/A</v>
      </c>
      <c r="Q99" s="5">
        <f t="shared" si="36"/>
        <v>0</v>
      </c>
      <c r="R99" s="4">
        <f t="shared" si="37"/>
        <v>0</v>
      </c>
      <c r="T99" s="4">
        <f t="shared" si="38"/>
        <v>0</v>
      </c>
      <c r="U99">
        <f t="shared" si="39"/>
        <v>0</v>
      </c>
      <c r="V99">
        <f t="shared" si="40"/>
        <v>40</v>
      </c>
      <c r="W99" t="e">
        <f t="shared" si="41"/>
        <v>#N/A</v>
      </c>
      <c r="X99" t="e">
        <f t="shared" si="42"/>
        <v>#N/A</v>
      </c>
      <c r="Y99" t="str">
        <f t="shared" si="43"/>
        <v xml:space="preserve"> </v>
      </c>
      <c r="AB99" t="e">
        <f t="shared" si="44"/>
        <v>#N/A</v>
      </c>
    </row>
    <row r="100" spans="1:28" x14ac:dyDescent="0.25">
      <c r="A100" s="14"/>
      <c r="B100" s="14"/>
      <c r="D100" s="12"/>
      <c r="E100" s="13"/>
      <c r="F100">
        <v>21140142</v>
      </c>
      <c r="G100" t="s">
        <v>97</v>
      </c>
      <c r="H100">
        <v>163</v>
      </c>
      <c r="I100">
        <v>1</v>
      </c>
      <c r="L100">
        <v>88888</v>
      </c>
      <c r="M100" s="1">
        <f t="shared" si="22"/>
        <v>99</v>
      </c>
      <c r="N100" s="2">
        <f t="shared" si="34"/>
        <v>43861</v>
      </c>
      <c r="O100" t="s">
        <v>160</v>
      </c>
      <c r="P100" t="e">
        <f t="shared" si="35"/>
        <v>#N/A</v>
      </c>
      <c r="Q100" s="5">
        <f t="shared" si="36"/>
        <v>0</v>
      </c>
      <c r="R100" s="4">
        <f t="shared" si="37"/>
        <v>0</v>
      </c>
      <c r="T100" s="4">
        <f t="shared" si="38"/>
        <v>0</v>
      </c>
      <c r="U100">
        <f t="shared" si="39"/>
        <v>0</v>
      </c>
      <c r="V100">
        <f t="shared" si="40"/>
        <v>40</v>
      </c>
      <c r="W100" t="e">
        <f t="shared" si="41"/>
        <v>#N/A</v>
      </c>
      <c r="X100" t="e">
        <f t="shared" si="42"/>
        <v>#N/A</v>
      </c>
      <c r="Y100" t="str">
        <f t="shared" si="43"/>
        <v xml:space="preserve"> </v>
      </c>
      <c r="AB100" t="e">
        <f t="shared" si="44"/>
        <v>#N/A</v>
      </c>
    </row>
    <row r="101" spans="1:28" x14ac:dyDescent="0.25">
      <c r="A101" s="14"/>
      <c r="B101" s="14"/>
      <c r="D101" s="12"/>
      <c r="E101" s="13"/>
      <c r="F101">
        <v>21140143</v>
      </c>
      <c r="G101" t="s">
        <v>98</v>
      </c>
      <c r="H101">
        <v>164</v>
      </c>
      <c r="I101">
        <v>1</v>
      </c>
      <c r="L101">
        <v>88888</v>
      </c>
      <c r="M101" s="1">
        <f t="shared" si="22"/>
        <v>100</v>
      </c>
      <c r="N101" s="2">
        <f t="shared" si="34"/>
        <v>43861</v>
      </c>
      <c r="O101" t="s">
        <v>160</v>
      </c>
      <c r="P101" t="e">
        <f t="shared" si="35"/>
        <v>#N/A</v>
      </c>
      <c r="Q101" s="5">
        <f t="shared" si="36"/>
        <v>0</v>
      </c>
      <c r="R101" s="4">
        <f t="shared" si="37"/>
        <v>0</v>
      </c>
      <c r="T101" s="4">
        <f t="shared" si="38"/>
        <v>0</v>
      </c>
      <c r="U101">
        <f t="shared" si="39"/>
        <v>0</v>
      </c>
      <c r="V101">
        <f t="shared" si="40"/>
        <v>40</v>
      </c>
      <c r="W101" t="e">
        <f t="shared" si="41"/>
        <v>#N/A</v>
      </c>
      <c r="X101" t="e">
        <f t="shared" si="42"/>
        <v>#N/A</v>
      </c>
      <c r="Y101" t="str">
        <f t="shared" si="43"/>
        <v xml:space="preserve"> </v>
      </c>
      <c r="AB101" t="e">
        <f t="shared" si="44"/>
        <v>#N/A</v>
      </c>
    </row>
    <row r="102" spans="1:28" x14ac:dyDescent="0.25">
      <c r="A102" s="14"/>
      <c r="B102" s="14"/>
      <c r="D102" s="12"/>
      <c r="E102" s="13"/>
      <c r="F102">
        <v>21140144</v>
      </c>
      <c r="G102" t="s">
        <v>99</v>
      </c>
      <c r="H102">
        <v>165</v>
      </c>
      <c r="I102">
        <v>1</v>
      </c>
      <c r="L102">
        <v>88888</v>
      </c>
      <c r="M102" s="1">
        <f t="shared" si="22"/>
        <v>101</v>
      </c>
      <c r="N102" s="2">
        <f t="shared" si="34"/>
        <v>43861</v>
      </c>
      <c r="O102" t="s">
        <v>160</v>
      </c>
      <c r="P102" t="e">
        <f t="shared" si="35"/>
        <v>#N/A</v>
      </c>
      <c r="Q102" s="5">
        <f t="shared" si="36"/>
        <v>0</v>
      </c>
      <c r="R102" s="4">
        <f t="shared" si="37"/>
        <v>0</v>
      </c>
      <c r="T102" s="4">
        <f t="shared" si="38"/>
        <v>0</v>
      </c>
      <c r="U102">
        <f t="shared" si="39"/>
        <v>0</v>
      </c>
      <c r="V102">
        <f t="shared" si="40"/>
        <v>40</v>
      </c>
      <c r="W102" t="e">
        <f t="shared" si="41"/>
        <v>#N/A</v>
      </c>
      <c r="X102" t="e">
        <f t="shared" si="42"/>
        <v>#N/A</v>
      </c>
      <c r="Y102" t="str">
        <f t="shared" si="43"/>
        <v xml:space="preserve"> </v>
      </c>
      <c r="AB102" t="e">
        <f t="shared" si="44"/>
        <v>#N/A</v>
      </c>
    </row>
    <row r="103" spans="1:28" x14ac:dyDescent="0.25">
      <c r="A103" s="14"/>
      <c r="B103" s="14"/>
      <c r="D103" s="12"/>
      <c r="E103" s="13"/>
      <c r="F103">
        <v>21140145</v>
      </c>
      <c r="G103" t="s">
        <v>100</v>
      </c>
      <c r="H103">
        <v>166</v>
      </c>
      <c r="I103">
        <v>1</v>
      </c>
      <c r="L103">
        <v>88888</v>
      </c>
      <c r="M103" s="1">
        <f t="shared" si="22"/>
        <v>102</v>
      </c>
      <c r="N103" s="2">
        <f t="shared" si="34"/>
        <v>43861</v>
      </c>
      <c r="O103" t="s">
        <v>160</v>
      </c>
      <c r="P103" t="e">
        <f t="shared" si="35"/>
        <v>#N/A</v>
      </c>
      <c r="Q103" s="5">
        <f t="shared" si="36"/>
        <v>0</v>
      </c>
      <c r="R103" s="4">
        <f t="shared" si="37"/>
        <v>0</v>
      </c>
      <c r="T103" s="4">
        <f t="shared" si="38"/>
        <v>0</v>
      </c>
      <c r="U103">
        <f t="shared" si="39"/>
        <v>0</v>
      </c>
      <c r="V103">
        <f t="shared" si="40"/>
        <v>40</v>
      </c>
      <c r="W103" t="e">
        <f t="shared" si="41"/>
        <v>#N/A</v>
      </c>
      <c r="X103" t="e">
        <f t="shared" si="42"/>
        <v>#N/A</v>
      </c>
      <c r="Y103" t="str">
        <f t="shared" si="43"/>
        <v xml:space="preserve"> </v>
      </c>
      <c r="AB103" t="e">
        <f t="shared" si="44"/>
        <v>#N/A</v>
      </c>
    </row>
    <row r="104" spans="1:28" x14ac:dyDescent="0.25">
      <c r="A104" s="14"/>
      <c r="B104" s="14"/>
      <c r="D104" s="12"/>
      <c r="E104" s="13"/>
      <c r="F104">
        <v>21140146</v>
      </c>
      <c r="G104" t="s">
        <v>101</v>
      </c>
      <c r="H104">
        <v>167</v>
      </c>
      <c r="I104">
        <v>1</v>
      </c>
      <c r="N104" s="2"/>
      <c r="P104"/>
      <c r="T104" s="4"/>
    </row>
    <row r="105" spans="1:28" x14ac:dyDescent="0.25">
      <c r="A105" s="14"/>
      <c r="B105" s="14"/>
      <c r="D105" s="12"/>
      <c r="E105" s="13"/>
      <c r="F105">
        <v>21140147</v>
      </c>
      <c r="G105" t="s">
        <v>102</v>
      </c>
      <c r="H105">
        <v>168</v>
      </c>
      <c r="I105">
        <v>1</v>
      </c>
      <c r="N105" s="2"/>
      <c r="P105"/>
      <c r="T105" s="4"/>
    </row>
    <row r="106" spans="1:28" x14ac:dyDescent="0.25">
      <c r="A106" s="14"/>
      <c r="B106" s="14"/>
      <c r="D106" s="12"/>
      <c r="E106" s="13"/>
      <c r="F106">
        <v>21140148</v>
      </c>
      <c r="G106" t="s">
        <v>103</v>
      </c>
      <c r="H106">
        <v>169</v>
      </c>
      <c r="I106">
        <v>1</v>
      </c>
      <c r="N106" s="2"/>
      <c r="P106"/>
      <c r="T106" s="4"/>
    </row>
    <row r="107" spans="1:28" x14ac:dyDescent="0.25">
      <c r="A107" s="14"/>
      <c r="B107" s="14"/>
      <c r="D107" s="12"/>
      <c r="E107" s="13"/>
      <c r="F107">
        <v>21140149</v>
      </c>
      <c r="G107" t="s">
        <v>104</v>
      </c>
      <c r="H107">
        <v>170</v>
      </c>
      <c r="I107">
        <v>1</v>
      </c>
      <c r="N107" s="2"/>
      <c r="P107"/>
      <c r="T107" s="4"/>
    </row>
    <row r="108" spans="1:28" x14ac:dyDescent="0.25">
      <c r="A108" s="14"/>
      <c r="B108" s="14"/>
      <c r="D108" s="12"/>
      <c r="E108" s="13"/>
      <c r="F108">
        <v>21140150</v>
      </c>
      <c r="G108" t="s">
        <v>105</v>
      </c>
      <c r="H108">
        <v>171</v>
      </c>
      <c r="I108">
        <v>1</v>
      </c>
      <c r="N108" s="2"/>
      <c r="P108"/>
      <c r="T108" s="4"/>
    </row>
    <row r="109" spans="1:28" x14ac:dyDescent="0.25">
      <c r="A109" s="14"/>
      <c r="B109" s="14"/>
      <c r="D109" s="12"/>
      <c r="E109" s="13"/>
      <c r="F109">
        <v>21140151</v>
      </c>
      <c r="G109" t="s">
        <v>106</v>
      </c>
      <c r="H109">
        <v>172</v>
      </c>
      <c r="I109">
        <v>1</v>
      </c>
      <c r="N109" s="2"/>
      <c r="P109"/>
      <c r="T109" s="4"/>
    </row>
    <row r="110" spans="1:28" x14ac:dyDescent="0.25">
      <c r="A110" s="14"/>
      <c r="B110" s="14"/>
      <c r="D110" s="12"/>
      <c r="E110" s="13"/>
      <c r="F110">
        <v>21140152</v>
      </c>
      <c r="G110" t="s">
        <v>107</v>
      </c>
      <c r="H110">
        <v>175</v>
      </c>
      <c r="I110">
        <v>1</v>
      </c>
      <c r="N110" s="2"/>
      <c r="P110"/>
      <c r="T110" s="4"/>
    </row>
    <row r="111" spans="1:28" x14ac:dyDescent="0.25">
      <c r="A111" s="14"/>
      <c r="B111" s="14"/>
      <c r="D111" s="12"/>
      <c r="E111" s="13"/>
      <c r="F111">
        <v>21140153</v>
      </c>
      <c r="G111" t="s">
        <v>108</v>
      </c>
      <c r="H111">
        <v>176</v>
      </c>
      <c r="I111">
        <v>1</v>
      </c>
      <c r="N111" s="2"/>
      <c r="P111"/>
      <c r="T111" s="4"/>
    </row>
    <row r="112" spans="1:28" x14ac:dyDescent="0.25">
      <c r="A112" s="14"/>
      <c r="B112" s="14"/>
      <c r="D112" s="12"/>
      <c r="E112" s="13"/>
      <c r="F112">
        <v>21140154</v>
      </c>
      <c r="G112" t="s">
        <v>1</v>
      </c>
      <c r="H112">
        <v>177</v>
      </c>
      <c r="I112">
        <v>1</v>
      </c>
      <c r="N112" s="2"/>
      <c r="P112"/>
      <c r="T112" s="4"/>
    </row>
    <row r="113" spans="1:20" x14ac:dyDescent="0.25">
      <c r="A113" s="14"/>
      <c r="B113" s="14"/>
      <c r="D113" s="12"/>
      <c r="E113" s="13"/>
      <c r="F113">
        <v>21140155</v>
      </c>
      <c r="G113" t="s">
        <v>109</v>
      </c>
      <c r="H113">
        <v>186</v>
      </c>
      <c r="I113">
        <v>1</v>
      </c>
      <c r="N113" s="2"/>
      <c r="P113"/>
      <c r="T113" s="4"/>
    </row>
    <row r="114" spans="1:20" x14ac:dyDescent="0.25">
      <c r="A114" s="14"/>
      <c r="B114" s="14"/>
      <c r="D114" s="12"/>
      <c r="E114" s="13"/>
      <c r="F114">
        <v>21140157</v>
      </c>
      <c r="G114" t="s">
        <v>110</v>
      </c>
      <c r="H114">
        <v>1429</v>
      </c>
      <c r="I114">
        <v>1</v>
      </c>
      <c r="N114" s="2"/>
      <c r="P114"/>
      <c r="T114" s="4"/>
    </row>
    <row r="115" spans="1:20" x14ac:dyDescent="0.25">
      <c r="A115" s="14"/>
      <c r="B115" s="14"/>
      <c r="D115" s="12"/>
      <c r="E115" s="13"/>
      <c r="F115">
        <v>21140158</v>
      </c>
      <c r="G115" t="s">
        <v>111</v>
      </c>
      <c r="H115">
        <v>1442</v>
      </c>
      <c r="I115">
        <v>1</v>
      </c>
      <c r="N115" s="2"/>
      <c r="P115"/>
      <c r="T115" s="4"/>
    </row>
    <row r="116" spans="1:20" x14ac:dyDescent="0.25">
      <c r="A116" s="14"/>
      <c r="B116" s="14"/>
      <c r="D116" s="12"/>
      <c r="E116" s="13"/>
      <c r="F116">
        <v>21140159</v>
      </c>
      <c r="G116" t="s">
        <v>112</v>
      </c>
      <c r="H116">
        <v>1445</v>
      </c>
      <c r="I116">
        <v>1</v>
      </c>
      <c r="N116" s="2"/>
      <c r="P116"/>
      <c r="T116" s="4"/>
    </row>
    <row r="117" spans="1:20" x14ac:dyDescent="0.25">
      <c r="A117" s="14"/>
      <c r="B117" s="14"/>
      <c r="D117" s="12"/>
      <c r="E117" s="13"/>
      <c r="F117">
        <v>21140160</v>
      </c>
      <c r="G117" t="s">
        <v>113</v>
      </c>
      <c r="H117">
        <v>1456</v>
      </c>
      <c r="I117">
        <v>1</v>
      </c>
      <c r="N117" s="2"/>
      <c r="P117"/>
      <c r="T117" s="4"/>
    </row>
    <row r="118" spans="1:20" x14ac:dyDescent="0.25">
      <c r="A118" s="14"/>
      <c r="B118" s="14"/>
      <c r="D118" s="12"/>
      <c r="E118" s="13"/>
      <c r="F118">
        <v>21140161</v>
      </c>
      <c r="G118" t="s">
        <v>114</v>
      </c>
      <c r="H118">
        <v>1474</v>
      </c>
      <c r="I118">
        <v>1</v>
      </c>
      <c r="N118" s="2"/>
      <c r="P118"/>
      <c r="T118" s="4"/>
    </row>
    <row r="119" spans="1:20" x14ac:dyDescent="0.25">
      <c r="A119" s="14"/>
      <c r="B119" s="14"/>
      <c r="D119" s="12"/>
      <c r="E119" s="13"/>
      <c r="F119">
        <v>21140162</v>
      </c>
      <c r="G119" t="s">
        <v>115</v>
      </c>
      <c r="H119">
        <v>1477</v>
      </c>
      <c r="I119">
        <v>1</v>
      </c>
      <c r="N119" s="2"/>
      <c r="P119"/>
      <c r="T119" s="4"/>
    </row>
    <row r="120" spans="1:20" x14ac:dyDescent="0.25">
      <c r="A120" s="14"/>
      <c r="B120" s="14"/>
      <c r="D120" s="12"/>
      <c r="E120" s="13"/>
      <c r="F120">
        <v>21140163</v>
      </c>
      <c r="G120" t="s">
        <v>116</v>
      </c>
      <c r="H120">
        <v>1487</v>
      </c>
      <c r="I120">
        <v>1</v>
      </c>
      <c r="N120" s="2"/>
      <c r="P120"/>
      <c r="T120" s="4"/>
    </row>
    <row r="121" spans="1:20" x14ac:dyDescent="0.25">
      <c r="A121" s="14"/>
      <c r="B121" s="14"/>
      <c r="D121" s="12"/>
      <c r="E121" s="13"/>
      <c r="F121">
        <v>21140164</v>
      </c>
      <c r="G121" t="s">
        <v>117</v>
      </c>
      <c r="H121">
        <v>1497</v>
      </c>
      <c r="I121">
        <v>1</v>
      </c>
      <c r="N121" s="2"/>
      <c r="P121"/>
      <c r="T121" s="4"/>
    </row>
    <row r="122" spans="1:20" x14ac:dyDescent="0.25">
      <c r="A122" s="14"/>
      <c r="B122" s="14"/>
      <c r="D122" s="12"/>
      <c r="E122" s="13"/>
      <c r="F122">
        <v>21140165</v>
      </c>
      <c r="G122" t="s">
        <v>118</v>
      </c>
      <c r="H122">
        <v>1501</v>
      </c>
      <c r="I122">
        <v>1</v>
      </c>
      <c r="N122" s="2"/>
      <c r="P122"/>
      <c r="T122" s="4"/>
    </row>
    <row r="123" spans="1:20" x14ac:dyDescent="0.25">
      <c r="A123" s="14"/>
      <c r="B123" s="14"/>
      <c r="D123" s="12"/>
      <c r="E123" s="13"/>
      <c r="F123">
        <v>21140166</v>
      </c>
      <c r="G123" t="s">
        <v>119</v>
      </c>
      <c r="H123">
        <v>1507</v>
      </c>
      <c r="I123">
        <v>1</v>
      </c>
      <c r="N123" s="2"/>
      <c r="P123"/>
      <c r="T123" s="4"/>
    </row>
    <row r="124" spans="1:20" x14ac:dyDescent="0.25">
      <c r="A124" s="14"/>
      <c r="B124" s="14"/>
      <c r="D124" s="12"/>
      <c r="E124" s="13"/>
      <c r="F124">
        <v>21140167</v>
      </c>
      <c r="G124" t="s">
        <v>120</v>
      </c>
      <c r="H124">
        <v>1508</v>
      </c>
      <c r="I124">
        <v>1</v>
      </c>
      <c r="N124" s="2"/>
      <c r="P124"/>
      <c r="T124" s="4"/>
    </row>
    <row r="125" spans="1:20" x14ac:dyDescent="0.25">
      <c r="A125" s="14"/>
      <c r="B125" s="14"/>
      <c r="D125" s="12"/>
      <c r="E125" s="13"/>
      <c r="F125">
        <v>21140168</v>
      </c>
      <c r="G125" t="s">
        <v>121</v>
      </c>
      <c r="H125">
        <v>1509</v>
      </c>
      <c r="I125">
        <v>1</v>
      </c>
      <c r="N125" s="2"/>
      <c r="P125"/>
      <c r="T125" s="4"/>
    </row>
    <row r="126" spans="1:20" x14ac:dyDescent="0.25">
      <c r="A126" s="14"/>
      <c r="B126" s="14"/>
      <c r="D126" s="12"/>
      <c r="E126" s="13"/>
      <c r="F126">
        <v>21140169</v>
      </c>
      <c r="G126" t="s">
        <v>122</v>
      </c>
      <c r="H126">
        <v>1510</v>
      </c>
      <c r="I126">
        <v>1</v>
      </c>
      <c r="N126" s="2"/>
      <c r="P126"/>
      <c r="T126" s="4"/>
    </row>
    <row r="127" spans="1:20" x14ac:dyDescent="0.25">
      <c r="A127" s="14"/>
      <c r="B127" s="14"/>
      <c r="D127" s="12"/>
      <c r="E127" s="13"/>
      <c r="F127">
        <v>21140170</v>
      </c>
      <c r="G127" t="s">
        <v>123</v>
      </c>
      <c r="H127">
        <v>1577</v>
      </c>
      <c r="I127">
        <v>1</v>
      </c>
      <c r="N127" s="2"/>
      <c r="P127"/>
      <c r="T127" s="4"/>
    </row>
    <row r="128" spans="1:20" x14ac:dyDescent="0.25">
      <c r="A128" s="14"/>
      <c r="B128" s="14"/>
      <c r="D128" s="13"/>
      <c r="E128" s="13"/>
      <c r="F128">
        <v>21140171</v>
      </c>
      <c r="G128" t="s">
        <v>124</v>
      </c>
      <c r="H128">
        <v>1587</v>
      </c>
      <c r="I128">
        <v>1</v>
      </c>
      <c r="N128" s="2"/>
      <c r="P128"/>
      <c r="T128" s="4"/>
    </row>
    <row r="129" spans="1:20" x14ac:dyDescent="0.25">
      <c r="A129" s="14"/>
      <c r="B129" s="14"/>
      <c r="D129" s="13"/>
      <c r="E129" s="13"/>
      <c r="F129">
        <v>21140172</v>
      </c>
      <c r="G129" t="s">
        <v>125</v>
      </c>
      <c r="H129">
        <v>1593</v>
      </c>
      <c r="I129">
        <v>1</v>
      </c>
      <c r="N129" s="2"/>
      <c r="P129"/>
      <c r="T129" s="4"/>
    </row>
    <row r="130" spans="1:20" x14ac:dyDescent="0.25">
      <c r="A130" s="14"/>
      <c r="B130" s="14"/>
      <c r="D130" s="13"/>
      <c r="E130" s="13"/>
      <c r="F130">
        <v>21140173</v>
      </c>
      <c r="G130" t="s">
        <v>126</v>
      </c>
      <c r="H130">
        <v>1594</v>
      </c>
      <c r="I130">
        <v>1</v>
      </c>
      <c r="N130" s="2"/>
      <c r="P130"/>
      <c r="T130" s="4"/>
    </row>
    <row r="131" spans="1:20" x14ac:dyDescent="0.25">
      <c r="A131" s="14"/>
      <c r="B131" s="14"/>
      <c r="D131" s="13"/>
      <c r="E131" s="13"/>
      <c r="F131">
        <v>21140174</v>
      </c>
      <c r="G131" t="s">
        <v>127</v>
      </c>
      <c r="H131">
        <v>1595</v>
      </c>
      <c r="I131">
        <v>1</v>
      </c>
      <c r="N131" s="2"/>
      <c r="P131"/>
      <c r="T131" s="4"/>
    </row>
    <row r="132" spans="1:20" x14ac:dyDescent="0.25">
      <c r="A132" s="14"/>
      <c r="B132" s="14"/>
      <c r="D132" s="13"/>
      <c r="E132" s="13"/>
      <c r="F132">
        <v>21140175</v>
      </c>
      <c r="G132" t="s">
        <v>128</v>
      </c>
      <c r="H132">
        <v>1602</v>
      </c>
      <c r="I132">
        <v>1</v>
      </c>
      <c r="N132" s="2"/>
      <c r="P132"/>
      <c r="T132" s="4"/>
    </row>
    <row r="133" spans="1:20" x14ac:dyDescent="0.25">
      <c r="A133" s="14"/>
      <c r="B133" s="14"/>
      <c r="D133" s="13"/>
      <c r="E133" s="13"/>
      <c r="F133">
        <v>21140176</v>
      </c>
      <c r="G133" t="s">
        <v>129</v>
      </c>
      <c r="H133">
        <v>1649</v>
      </c>
      <c r="I133">
        <v>1</v>
      </c>
      <c r="N133" s="2"/>
      <c r="P133"/>
      <c r="T133" s="4"/>
    </row>
    <row r="134" spans="1:20" x14ac:dyDescent="0.25">
      <c r="A134" s="14"/>
      <c r="B134" s="14"/>
      <c r="D134" s="13"/>
      <c r="E134" s="15"/>
      <c r="F134">
        <v>21140177</v>
      </c>
      <c r="G134" s="6" t="s">
        <v>149</v>
      </c>
      <c r="H134" s="7">
        <v>1741</v>
      </c>
      <c r="I134">
        <v>1</v>
      </c>
      <c r="N134" s="2"/>
      <c r="P134"/>
      <c r="T134" s="4"/>
    </row>
    <row r="135" spans="1:20" x14ac:dyDescent="0.25">
      <c r="A135" s="14"/>
      <c r="B135" s="14"/>
      <c r="D135" s="13"/>
      <c r="E135" s="13"/>
      <c r="F135">
        <v>21140178</v>
      </c>
      <c r="G135" t="s">
        <v>130</v>
      </c>
      <c r="H135">
        <v>1752</v>
      </c>
      <c r="I135">
        <v>1</v>
      </c>
      <c r="N135" s="2"/>
      <c r="P135"/>
      <c r="T135" s="4"/>
    </row>
    <row r="136" spans="1:20" x14ac:dyDescent="0.25">
      <c r="A136" s="14"/>
      <c r="B136" s="14"/>
      <c r="D136" s="13"/>
      <c r="E136" s="16"/>
      <c r="F136">
        <v>21140179</v>
      </c>
      <c r="G136" t="s">
        <v>131</v>
      </c>
      <c r="H136">
        <v>1753</v>
      </c>
      <c r="I136">
        <v>1</v>
      </c>
      <c r="N136" s="2"/>
      <c r="P136"/>
      <c r="T136" s="4"/>
    </row>
    <row r="137" spans="1:20" x14ac:dyDescent="0.25">
      <c r="A137" s="14"/>
      <c r="B137" s="14"/>
      <c r="D137" s="13"/>
      <c r="E137" s="13"/>
      <c r="F137">
        <v>21140180</v>
      </c>
      <c r="G137" t="s">
        <v>132</v>
      </c>
      <c r="H137">
        <v>1869</v>
      </c>
      <c r="I137">
        <v>1</v>
      </c>
      <c r="N137" s="2"/>
      <c r="P137"/>
      <c r="T137" s="4"/>
    </row>
    <row r="138" spans="1:20" x14ac:dyDescent="0.25">
      <c r="A138" s="14"/>
      <c r="B138" s="14"/>
      <c r="D138" s="13"/>
      <c r="E138" s="12"/>
      <c r="F138" s="6">
        <v>21140181</v>
      </c>
      <c r="G138" s="6" t="s">
        <v>151</v>
      </c>
      <c r="H138" s="6">
        <v>1888</v>
      </c>
      <c r="I138" s="6">
        <v>1</v>
      </c>
      <c r="N138" s="2"/>
      <c r="P138"/>
      <c r="T138" s="4"/>
    </row>
    <row r="139" spans="1:20" x14ac:dyDescent="0.25">
      <c r="A139" s="14"/>
      <c r="B139" s="14"/>
      <c r="D139" s="13"/>
      <c r="E139" s="12"/>
      <c r="F139" s="7">
        <v>21140182</v>
      </c>
      <c r="G139" s="7" t="s">
        <v>141</v>
      </c>
      <c r="H139" s="7">
        <v>1898</v>
      </c>
      <c r="I139">
        <v>1</v>
      </c>
      <c r="N139" s="2"/>
      <c r="P139"/>
      <c r="T139" s="4"/>
    </row>
    <row r="140" spans="1:20" x14ac:dyDescent="0.25">
      <c r="A140" s="14"/>
      <c r="B140" s="17"/>
      <c r="D140" s="13"/>
      <c r="E140" s="13"/>
      <c r="F140" s="6">
        <v>21140183</v>
      </c>
      <c r="G140" s="6" t="s">
        <v>142</v>
      </c>
      <c r="H140" s="7">
        <v>1986</v>
      </c>
      <c r="I140">
        <v>1</v>
      </c>
      <c r="N140" s="2"/>
      <c r="P140"/>
      <c r="T140" s="4"/>
    </row>
    <row r="141" spans="1:20" x14ac:dyDescent="0.25">
      <c r="A141" s="14"/>
      <c r="B141" s="14"/>
      <c r="D141" s="13"/>
      <c r="E141" s="23"/>
      <c r="F141" s="7">
        <v>21140184</v>
      </c>
      <c r="G141" s="7" t="s">
        <v>145</v>
      </c>
      <c r="H141" s="7">
        <v>1998</v>
      </c>
      <c r="I141" s="7">
        <v>1</v>
      </c>
      <c r="N141" s="2"/>
      <c r="P141"/>
      <c r="T141" s="4"/>
    </row>
    <row r="142" spans="1:20" x14ac:dyDescent="0.25">
      <c r="A142" s="14"/>
      <c r="B142" s="14"/>
      <c r="D142" s="13"/>
      <c r="E142" s="23"/>
      <c r="F142" s="9">
        <v>21140186</v>
      </c>
      <c r="G142" s="9" t="s">
        <v>157</v>
      </c>
      <c r="H142" s="7">
        <v>1999</v>
      </c>
      <c r="I142" s="7">
        <v>1</v>
      </c>
      <c r="N142" s="2"/>
      <c r="P142"/>
      <c r="T142" s="4"/>
    </row>
    <row r="143" spans="1:20" x14ac:dyDescent="0.25">
      <c r="A143" s="14"/>
      <c r="B143" s="14"/>
      <c r="D143" s="13"/>
      <c r="E143" s="23"/>
      <c r="F143">
        <v>21140189</v>
      </c>
      <c r="G143" s="9" t="s">
        <v>158</v>
      </c>
      <c r="H143" s="7">
        <v>2097</v>
      </c>
      <c r="I143" s="7">
        <v>1</v>
      </c>
      <c r="N143" s="2"/>
      <c r="P143"/>
      <c r="T143" s="4"/>
    </row>
    <row r="144" spans="1:20" x14ac:dyDescent="0.25">
      <c r="A144" s="14"/>
      <c r="B144" s="14"/>
      <c r="D144" s="13"/>
      <c r="E144" s="23"/>
      <c r="F144">
        <v>21140402</v>
      </c>
      <c r="G144" t="s">
        <v>133</v>
      </c>
      <c r="H144">
        <v>182</v>
      </c>
      <c r="I144">
        <v>1</v>
      </c>
      <c r="N144" s="2"/>
      <c r="P144"/>
      <c r="T144" s="4"/>
    </row>
    <row r="145" spans="1:20" x14ac:dyDescent="0.25">
      <c r="A145" s="14"/>
      <c r="B145" s="14"/>
      <c r="D145" s="13"/>
      <c r="E145" s="24"/>
      <c r="F145">
        <v>21140501</v>
      </c>
      <c r="G145" t="s">
        <v>134</v>
      </c>
      <c r="H145">
        <v>181</v>
      </c>
      <c r="I145">
        <v>1</v>
      </c>
      <c r="N145" s="2"/>
      <c r="P145"/>
      <c r="T145" s="4"/>
    </row>
    <row r="146" spans="1:20" x14ac:dyDescent="0.25">
      <c r="A146" s="14"/>
      <c r="B146" s="14"/>
      <c r="D146" s="13"/>
      <c r="E146" s="16"/>
      <c r="F146">
        <v>21140502</v>
      </c>
      <c r="G146" t="s">
        <v>147</v>
      </c>
      <c r="H146">
        <v>182</v>
      </c>
      <c r="I146">
        <v>1</v>
      </c>
      <c r="N146" s="2"/>
      <c r="P146"/>
      <c r="T146" s="4"/>
    </row>
    <row r="147" spans="1:20" x14ac:dyDescent="0.25">
      <c r="A147" s="14"/>
      <c r="B147" s="14"/>
      <c r="D147" s="13"/>
      <c r="E147" s="12"/>
      <c r="F147">
        <v>21140503</v>
      </c>
      <c r="G147" t="s">
        <v>146</v>
      </c>
      <c r="H147">
        <v>1443</v>
      </c>
      <c r="I147">
        <v>1</v>
      </c>
      <c r="N147" s="2"/>
      <c r="P147"/>
      <c r="T147" s="4"/>
    </row>
    <row r="148" spans="1:20" x14ac:dyDescent="0.25">
      <c r="A148" s="14"/>
      <c r="B148" s="14"/>
      <c r="D148" s="13"/>
      <c r="E148" s="24"/>
      <c r="F148">
        <v>21140504</v>
      </c>
      <c r="G148" t="s">
        <v>135</v>
      </c>
      <c r="H148">
        <v>1473</v>
      </c>
      <c r="I148">
        <v>1</v>
      </c>
      <c r="N148" s="2"/>
      <c r="P148"/>
      <c r="T148" s="4"/>
    </row>
    <row r="149" spans="1:20" x14ac:dyDescent="0.25">
      <c r="A149" s="14"/>
      <c r="B149" s="14"/>
      <c r="D149" s="13"/>
      <c r="E149" s="12"/>
      <c r="F149">
        <v>21140505</v>
      </c>
      <c r="G149" t="s">
        <v>136</v>
      </c>
      <c r="H149">
        <v>1528</v>
      </c>
      <c r="I149">
        <v>1</v>
      </c>
      <c r="N149" s="2"/>
      <c r="P149"/>
      <c r="T149" s="4"/>
    </row>
    <row r="150" spans="1:20" x14ac:dyDescent="0.25">
      <c r="A150" s="14"/>
      <c r="B150" s="14"/>
      <c r="D150" s="13"/>
      <c r="E150" s="24"/>
      <c r="F150">
        <v>21140506</v>
      </c>
      <c r="G150" t="s">
        <v>137</v>
      </c>
      <c r="H150">
        <v>1601</v>
      </c>
      <c r="I150">
        <v>1</v>
      </c>
      <c r="N150" s="2"/>
      <c r="P150"/>
      <c r="T150" s="4"/>
    </row>
    <row r="151" spans="1:20" x14ac:dyDescent="0.25">
      <c r="A151" s="14"/>
      <c r="B151" s="14"/>
      <c r="D151" s="13"/>
      <c r="E151" s="24"/>
      <c r="F151">
        <v>21140507</v>
      </c>
      <c r="G151" t="s">
        <v>138</v>
      </c>
      <c r="H151">
        <v>1721</v>
      </c>
      <c r="I151">
        <v>1</v>
      </c>
      <c r="N151" s="2"/>
      <c r="P151"/>
      <c r="T151" s="4"/>
    </row>
    <row r="152" spans="1:20" x14ac:dyDescent="0.25">
      <c r="A152" s="14"/>
      <c r="B152" s="14"/>
      <c r="D152" s="13"/>
      <c r="E152" s="24"/>
      <c r="F152">
        <v>51140402</v>
      </c>
      <c r="G152" t="s">
        <v>139</v>
      </c>
      <c r="H152">
        <v>182</v>
      </c>
      <c r="I152">
        <v>1</v>
      </c>
      <c r="N152" s="2"/>
      <c r="P152"/>
      <c r="T152" s="4"/>
    </row>
    <row r="153" spans="1:20" x14ac:dyDescent="0.25">
      <c r="A153" s="14"/>
      <c r="B153" s="14"/>
      <c r="D153" s="13"/>
      <c r="E153" s="24"/>
      <c r="N153" s="2"/>
      <c r="P153"/>
      <c r="T153" s="4"/>
    </row>
    <row r="154" spans="1:20" x14ac:dyDescent="0.25">
      <c r="A154" s="14"/>
      <c r="B154" s="14"/>
      <c r="D154" s="13"/>
      <c r="E154" s="24"/>
      <c r="N154" s="2"/>
      <c r="P154"/>
      <c r="T154" s="4"/>
    </row>
    <row r="155" spans="1:20" x14ac:dyDescent="0.25">
      <c r="A155" s="14"/>
      <c r="B155" s="14"/>
      <c r="D155" s="13"/>
      <c r="E155" s="12"/>
      <c r="N155" s="2"/>
      <c r="P155"/>
      <c r="T155" s="4"/>
    </row>
    <row r="156" spans="1:20" x14ac:dyDescent="0.25">
      <c r="A156" s="14"/>
      <c r="B156" s="14"/>
      <c r="D156" s="13"/>
      <c r="E156" s="12"/>
      <c r="N156" s="2"/>
      <c r="P156"/>
      <c r="T156" s="4"/>
    </row>
    <row r="157" spans="1:20" x14ac:dyDescent="0.25">
      <c r="A157" s="14"/>
      <c r="B157" s="14"/>
      <c r="D157" s="13"/>
      <c r="E157" s="12"/>
      <c r="N157" s="2"/>
      <c r="P157"/>
      <c r="T157" s="4"/>
    </row>
    <row r="158" spans="1:20" x14ac:dyDescent="0.25">
      <c r="A158" s="14"/>
      <c r="B158" s="14"/>
      <c r="D158" s="13"/>
      <c r="E158" s="12"/>
      <c r="N158" s="2"/>
      <c r="P158"/>
      <c r="T158" s="4"/>
    </row>
    <row r="159" spans="1:20" x14ac:dyDescent="0.25">
      <c r="A159" s="14"/>
      <c r="B159" s="14"/>
      <c r="D159" s="13"/>
      <c r="E159" s="24"/>
      <c r="N159" s="2"/>
      <c r="P159"/>
      <c r="T159" s="4"/>
    </row>
    <row r="160" spans="1:20" x14ac:dyDescent="0.25">
      <c r="A160" s="14"/>
      <c r="B160" s="14"/>
      <c r="D160" s="13"/>
      <c r="E160" s="24"/>
      <c r="G160" t="s">
        <v>150</v>
      </c>
      <c r="N160" s="2"/>
      <c r="P160"/>
      <c r="T160" s="4"/>
    </row>
    <row r="161" spans="1:20" x14ac:dyDescent="0.25">
      <c r="A161" s="14"/>
      <c r="B161" s="14"/>
      <c r="D161" s="13"/>
      <c r="E161" s="24"/>
      <c r="N161" s="2"/>
      <c r="P161"/>
      <c r="T161" s="4"/>
    </row>
    <row r="162" spans="1:20" x14ac:dyDescent="0.25">
      <c r="A162" s="14"/>
      <c r="B162" s="14"/>
      <c r="D162" s="13"/>
      <c r="E162" s="12"/>
      <c r="N162" s="2"/>
      <c r="P162"/>
      <c r="T162" s="4"/>
    </row>
    <row r="163" spans="1:20" x14ac:dyDescent="0.25">
      <c r="A163" s="14"/>
      <c r="B163" s="14"/>
      <c r="D163" s="13"/>
      <c r="E163" s="12"/>
      <c r="N163" s="2"/>
      <c r="P163"/>
      <c r="T163" s="4"/>
    </row>
    <row r="164" spans="1:20" x14ac:dyDescent="0.25">
      <c r="A164" s="14"/>
      <c r="B164" s="14"/>
      <c r="D164" s="13"/>
      <c r="E164" s="12"/>
      <c r="N164" s="2"/>
      <c r="P164"/>
      <c r="T164" s="4"/>
    </row>
    <row r="165" spans="1:20" x14ac:dyDescent="0.25">
      <c r="A165" s="14"/>
      <c r="B165" s="14"/>
      <c r="D165" s="13"/>
      <c r="E165" s="24"/>
      <c r="N165" s="2"/>
      <c r="P165"/>
      <c r="T165" s="4"/>
    </row>
    <row r="166" spans="1:20" x14ac:dyDescent="0.25">
      <c r="A166" s="14"/>
      <c r="B166" s="14"/>
      <c r="D166" s="13"/>
      <c r="E166" s="24"/>
      <c r="N166" s="2"/>
      <c r="P166"/>
      <c r="T166" s="4"/>
    </row>
    <row r="167" spans="1:20" x14ac:dyDescent="0.25">
      <c r="A167" s="14"/>
      <c r="B167" s="14"/>
      <c r="D167" s="13"/>
      <c r="E167" s="24"/>
      <c r="N167" s="2"/>
      <c r="P167"/>
      <c r="T167" s="4"/>
    </row>
    <row r="168" spans="1:20" x14ac:dyDescent="0.25">
      <c r="A168" s="14"/>
      <c r="B168" s="14"/>
      <c r="D168" s="13"/>
      <c r="E168" s="13"/>
      <c r="N168" s="2"/>
      <c r="P168"/>
      <c r="T168" s="4"/>
    </row>
    <row r="169" spans="1:20" x14ac:dyDescent="0.25">
      <c r="A169" s="14"/>
      <c r="B169" s="14"/>
      <c r="D169" s="13"/>
      <c r="E169" s="12"/>
      <c r="N169" s="2"/>
      <c r="P169"/>
      <c r="T169" s="4"/>
    </row>
    <row r="170" spans="1:20" x14ac:dyDescent="0.25">
      <c r="A170" s="14"/>
      <c r="B170" s="14"/>
      <c r="D170" s="13"/>
      <c r="E170" s="12"/>
      <c r="N170" s="2"/>
      <c r="P170"/>
      <c r="T170" s="4"/>
    </row>
    <row r="171" spans="1:20" x14ac:dyDescent="0.25">
      <c r="A171" s="14"/>
      <c r="B171" s="14"/>
      <c r="D171" s="13"/>
      <c r="E171" s="24"/>
      <c r="N171" s="2"/>
      <c r="P171"/>
      <c r="T171" s="4"/>
    </row>
    <row r="172" spans="1:20" x14ac:dyDescent="0.25">
      <c r="A172" s="14"/>
      <c r="B172" s="14"/>
      <c r="D172" s="13"/>
      <c r="E172" s="24"/>
      <c r="N172" s="2"/>
      <c r="P172"/>
      <c r="T172" s="4"/>
    </row>
    <row r="173" spans="1:20" x14ac:dyDescent="0.25">
      <c r="A173" s="14"/>
      <c r="B173" s="14"/>
      <c r="D173" s="13"/>
      <c r="E173" s="12"/>
      <c r="N173" s="2"/>
      <c r="P173"/>
      <c r="T173" s="4"/>
    </row>
    <row r="174" spans="1:20" x14ac:dyDescent="0.25">
      <c r="A174" s="14"/>
      <c r="B174" s="14"/>
      <c r="D174" s="13"/>
      <c r="E174" s="24"/>
      <c r="N174" s="2"/>
      <c r="P174"/>
      <c r="T174" s="4"/>
    </row>
    <row r="175" spans="1:20" x14ac:dyDescent="0.25">
      <c r="A175" s="14"/>
      <c r="B175" s="14"/>
      <c r="D175" s="13"/>
      <c r="E175" s="12"/>
      <c r="N175" s="2"/>
      <c r="P175"/>
      <c r="T175" s="4"/>
    </row>
    <row r="176" spans="1:20" x14ac:dyDescent="0.25">
      <c r="A176" s="14"/>
      <c r="B176" s="14"/>
      <c r="D176" s="13"/>
      <c r="E176" s="12"/>
      <c r="N176" s="2"/>
      <c r="P176"/>
      <c r="T176" s="4"/>
    </row>
    <row r="177" spans="1:20" x14ac:dyDescent="0.25">
      <c r="A177" s="14"/>
      <c r="B177" s="14"/>
      <c r="D177" s="13"/>
      <c r="E177" s="12"/>
      <c r="N177" s="2"/>
      <c r="P177"/>
      <c r="T177" s="4"/>
    </row>
    <row r="178" spans="1:20" x14ac:dyDescent="0.25">
      <c r="A178" s="14"/>
      <c r="B178" s="14"/>
      <c r="D178" s="13"/>
      <c r="E178" s="12"/>
      <c r="N178" s="2"/>
      <c r="P178"/>
      <c r="T178" s="4"/>
    </row>
    <row r="179" spans="1:20" x14ac:dyDescent="0.25">
      <c r="A179" s="14"/>
      <c r="B179" s="14"/>
      <c r="D179" s="13"/>
      <c r="E179" s="24"/>
      <c r="N179" s="2"/>
      <c r="P179"/>
      <c r="T179" s="4"/>
    </row>
    <row r="180" spans="1:20" x14ac:dyDescent="0.25">
      <c r="A180" s="14"/>
      <c r="B180" s="14"/>
      <c r="D180" s="13"/>
      <c r="E180" s="24"/>
      <c r="N180" s="2"/>
      <c r="P180"/>
      <c r="T180" s="4"/>
    </row>
    <row r="181" spans="1:20" x14ac:dyDescent="0.25">
      <c r="A181" s="14"/>
      <c r="B181" s="14"/>
      <c r="D181" s="13"/>
      <c r="E181" s="24"/>
      <c r="N181" s="2"/>
      <c r="P181"/>
      <c r="T181" s="4"/>
    </row>
    <row r="182" spans="1:20" x14ac:dyDescent="0.25">
      <c r="A182" s="14"/>
      <c r="B182" s="14"/>
      <c r="D182" s="13"/>
      <c r="E182" s="24"/>
      <c r="N182" s="2"/>
      <c r="P182"/>
      <c r="T182" s="4"/>
    </row>
    <row r="183" spans="1:20" x14ac:dyDescent="0.25">
      <c r="A183" s="14"/>
      <c r="B183" s="14"/>
      <c r="D183" s="13"/>
      <c r="E183" s="12"/>
      <c r="N183" s="2"/>
      <c r="P183"/>
      <c r="T183" s="4"/>
    </row>
    <row r="184" spans="1:20" x14ac:dyDescent="0.25">
      <c r="A184" s="14"/>
      <c r="B184" s="14"/>
      <c r="D184" s="13"/>
      <c r="E184" s="24"/>
      <c r="N184" s="2"/>
      <c r="P184"/>
      <c r="T184" s="4"/>
    </row>
    <row r="185" spans="1:20" x14ac:dyDescent="0.25">
      <c r="A185" s="14"/>
      <c r="B185" s="14"/>
      <c r="D185" s="13"/>
      <c r="E185" s="12"/>
      <c r="N185" s="2"/>
      <c r="P185"/>
      <c r="T185" s="4"/>
    </row>
    <row r="186" spans="1:20" x14ac:dyDescent="0.25">
      <c r="A186" s="14"/>
      <c r="B186" s="14"/>
      <c r="D186" s="13"/>
      <c r="E186" s="16"/>
      <c r="N186" s="2"/>
      <c r="P186"/>
      <c r="T186" s="4"/>
    </row>
    <row r="187" spans="1:20" x14ac:dyDescent="0.25">
      <c r="A187" s="14"/>
      <c r="B187" s="14"/>
      <c r="D187" s="13"/>
      <c r="E187" s="12"/>
      <c r="N187" s="2"/>
      <c r="P187"/>
      <c r="T187" s="4"/>
    </row>
    <row r="188" spans="1:20" x14ac:dyDescent="0.25">
      <c r="A188" s="14"/>
      <c r="B188" s="14"/>
      <c r="D188" s="13"/>
      <c r="E188" s="24"/>
      <c r="N188" s="2"/>
      <c r="P188"/>
      <c r="T188" s="4"/>
    </row>
    <row r="189" spans="1:20" x14ac:dyDescent="0.25">
      <c r="A189" s="14"/>
      <c r="B189" s="14"/>
      <c r="D189" s="13"/>
      <c r="E189" s="24"/>
      <c r="N189" s="2"/>
      <c r="P189"/>
      <c r="T189" s="4"/>
    </row>
    <row r="190" spans="1:20" x14ac:dyDescent="0.25">
      <c r="A190" s="14"/>
      <c r="B190" s="14"/>
      <c r="D190" s="13"/>
      <c r="E190" s="24"/>
      <c r="N190" s="2"/>
      <c r="P190"/>
      <c r="T190" s="4"/>
    </row>
    <row r="191" spans="1:20" x14ac:dyDescent="0.25">
      <c r="A191" s="14"/>
      <c r="B191" s="14"/>
      <c r="D191" s="13"/>
      <c r="E191" s="12"/>
      <c r="N191" s="2"/>
      <c r="P191"/>
      <c r="T191" s="4"/>
    </row>
    <row r="192" spans="1:20" x14ac:dyDescent="0.25">
      <c r="A192" s="14"/>
      <c r="B192" s="14"/>
      <c r="D192" s="13"/>
      <c r="E192" s="12"/>
      <c r="N192" s="2"/>
      <c r="P192"/>
      <c r="T192" s="4"/>
    </row>
    <row r="193" spans="1:20" x14ac:dyDescent="0.25">
      <c r="A193" s="14"/>
      <c r="B193" s="14"/>
      <c r="D193" s="13"/>
      <c r="E193" s="24"/>
      <c r="N193" s="2"/>
      <c r="P193"/>
      <c r="T193" s="4"/>
    </row>
    <row r="194" spans="1:20" x14ac:dyDescent="0.25">
      <c r="A194" s="14"/>
      <c r="B194" s="14"/>
      <c r="D194" s="13"/>
      <c r="E194" s="12"/>
      <c r="N194" s="2"/>
      <c r="P194"/>
      <c r="T194" s="4"/>
    </row>
    <row r="195" spans="1:20" x14ac:dyDescent="0.25">
      <c r="A195" s="14"/>
      <c r="B195" s="14"/>
      <c r="D195" s="13"/>
      <c r="E195" s="12"/>
      <c r="N195" s="2"/>
      <c r="P195"/>
      <c r="T195" s="4"/>
    </row>
    <row r="196" spans="1:20" x14ac:dyDescent="0.25">
      <c r="A196" s="14"/>
      <c r="B196" s="14"/>
      <c r="D196" s="13"/>
      <c r="E196" s="12"/>
      <c r="N196" s="2"/>
      <c r="P196"/>
      <c r="T196" s="4"/>
    </row>
    <row r="197" spans="1:20" x14ac:dyDescent="0.25">
      <c r="A197" s="17"/>
      <c r="B197" s="17"/>
      <c r="D197" s="13"/>
      <c r="E197" s="24"/>
      <c r="N197" s="2"/>
      <c r="P197"/>
      <c r="T197" s="4"/>
    </row>
    <row r="198" spans="1:20" x14ac:dyDescent="0.25">
      <c r="A198" s="18"/>
      <c r="B198" s="17"/>
      <c r="D198" s="13"/>
      <c r="E198" s="19"/>
      <c r="N198" s="2"/>
      <c r="P198"/>
      <c r="T198" s="4"/>
    </row>
    <row r="199" spans="1:20" x14ac:dyDescent="0.25">
      <c r="A199" s="18"/>
      <c r="B199" s="17"/>
      <c r="D199" s="13"/>
      <c r="E199" s="19"/>
      <c r="N199" s="2"/>
      <c r="P199"/>
      <c r="T199" s="4"/>
    </row>
    <row r="200" spans="1:20" x14ac:dyDescent="0.25">
      <c r="A200" s="17"/>
      <c r="B200" s="17"/>
      <c r="D200" s="13"/>
      <c r="E200" s="12"/>
      <c r="N200" s="2"/>
      <c r="P200"/>
      <c r="T200" s="4"/>
    </row>
    <row r="201" spans="1:20" x14ac:dyDescent="0.25">
      <c r="A201" s="17"/>
      <c r="B201" s="17"/>
      <c r="D201" s="13"/>
      <c r="E201" s="24"/>
      <c r="N201" s="2"/>
      <c r="P201"/>
      <c r="T201" s="4"/>
    </row>
    <row r="202" spans="1:20" x14ac:dyDescent="0.25">
      <c r="A202" s="17"/>
      <c r="B202" s="17"/>
      <c r="D202" s="13"/>
      <c r="E202" s="16"/>
      <c r="N202" s="2"/>
      <c r="P202"/>
      <c r="T202" s="4"/>
    </row>
    <row r="203" spans="1:20" x14ac:dyDescent="0.25">
      <c r="A203" s="17"/>
      <c r="B203" s="17"/>
      <c r="D203" s="13"/>
      <c r="E203" s="12"/>
      <c r="N203" s="2"/>
      <c r="P203"/>
      <c r="T203" s="4"/>
    </row>
    <row r="204" spans="1:20" x14ac:dyDescent="0.25">
      <c r="A204" s="17"/>
      <c r="B204" s="17"/>
      <c r="D204" s="13"/>
      <c r="E204" s="12"/>
      <c r="N204" s="2"/>
      <c r="P204"/>
      <c r="T204" s="4"/>
    </row>
    <row r="205" spans="1:20" x14ac:dyDescent="0.25">
      <c r="A205" s="17"/>
      <c r="B205" s="17"/>
      <c r="D205" s="13"/>
      <c r="E205" s="12"/>
      <c r="N205" s="2"/>
      <c r="P205"/>
      <c r="T205" s="4"/>
    </row>
    <row r="206" spans="1:20" x14ac:dyDescent="0.25">
      <c r="A206" s="17"/>
      <c r="B206" s="17"/>
      <c r="D206" s="13"/>
      <c r="E206" s="12"/>
      <c r="N206" s="2"/>
      <c r="P206"/>
      <c r="T206" s="4"/>
    </row>
    <row r="207" spans="1:20" x14ac:dyDescent="0.25">
      <c r="A207" s="17"/>
      <c r="B207" s="17"/>
      <c r="D207" s="13"/>
      <c r="E207" s="12"/>
      <c r="N207" s="2"/>
      <c r="P207"/>
      <c r="T207" s="4"/>
    </row>
    <row r="208" spans="1:20" x14ac:dyDescent="0.25">
      <c r="A208" s="17"/>
      <c r="B208" s="17"/>
      <c r="D208" s="13"/>
      <c r="E208" s="12"/>
      <c r="N208" s="2"/>
      <c r="P208"/>
      <c r="T208" s="4"/>
    </row>
    <row r="209" spans="1:20" x14ac:dyDescent="0.25">
      <c r="A209" s="17"/>
      <c r="B209" s="17"/>
      <c r="D209" s="13"/>
      <c r="E209" s="12"/>
      <c r="N209" s="2"/>
      <c r="P209"/>
      <c r="T209" s="4"/>
    </row>
    <row r="210" spans="1:20" x14ac:dyDescent="0.25">
      <c r="A210" s="17"/>
      <c r="B210" s="17"/>
      <c r="D210" s="13"/>
      <c r="E210" s="24"/>
      <c r="N210" s="2"/>
      <c r="P210"/>
      <c r="T210" s="4"/>
    </row>
    <row r="211" spans="1:20" x14ac:dyDescent="0.25">
      <c r="A211" s="17"/>
      <c r="B211" s="17"/>
      <c r="D211" s="13"/>
      <c r="E211" s="12"/>
      <c r="N211" s="2"/>
      <c r="P211"/>
      <c r="T211" s="4"/>
    </row>
    <row r="212" spans="1:20" x14ac:dyDescent="0.25">
      <c r="A212" s="17"/>
      <c r="B212" s="17"/>
      <c r="D212" s="13"/>
      <c r="E212" s="12"/>
      <c r="N212" s="2"/>
      <c r="P212"/>
      <c r="T212" s="4"/>
    </row>
    <row r="213" spans="1:20" x14ac:dyDescent="0.25">
      <c r="A213" s="17"/>
      <c r="B213" s="17"/>
      <c r="D213" s="13"/>
      <c r="E213" s="12"/>
      <c r="N213" s="2"/>
      <c r="P213"/>
      <c r="T213" s="4"/>
    </row>
    <row r="214" spans="1:20" x14ac:dyDescent="0.25">
      <c r="A214" s="17"/>
      <c r="B214" s="17"/>
      <c r="D214" s="13"/>
      <c r="E214" s="12"/>
      <c r="N214" s="2"/>
      <c r="P214"/>
      <c r="T214" s="4"/>
    </row>
    <row r="215" spans="1:20" x14ac:dyDescent="0.25">
      <c r="A215" s="17"/>
      <c r="B215" s="17"/>
      <c r="D215" s="13"/>
      <c r="E215" s="12"/>
      <c r="N215" s="2"/>
      <c r="P215"/>
      <c r="T215" s="4"/>
    </row>
    <row r="216" spans="1:20" x14ac:dyDescent="0.25">
      <c r="A216" s="17"/>
      <c r="B216" s="17"/>
      <c r="D216" s="13"/>
      <c r="E216" s="12"/>
      <c r="N216" s="2"/>
      <c r="P216"/>
      <c r="T216" s="4"/>
    </row>
    <row r="217" spans="1:20" x14ac:dyDescent="0.25">
      <c r="A217" s="17"/>
      <c r="B217" s="17"/>
      <c r="D217" s="13"/>
      <c r="E217" s="12"/>
      <c r="N217" s="2"/>
      <c r="P217"/>
      <c r="T217" s="4"/>
    </row>
    <row r="218" spans="1:20" x14ac:dyDescent="0.25">
      <c r="A218" s="17"/>
      <c r="B218" s="17"/>
      <c r="D218" s="13"/>
      <c r="E218" s="24"/>
      <c r="N218" s="2"/>
      <c r="P218"/>
      <c r="T218" s="4"/>
    </row>
    <row r="219" spans="1:20" x14ac:dyDescent="0.25">
      <c r="A219" s="17"/>
      <c r="B219" s="17"/>
      <c r="D219" s="13"/>
      <c r="E219" s="24"/>
      <c r="N219" s="2"/>
      <c r="P219"/>
      <c r="T219" s="4"/>
    </row>
    <row r="220" spans="1:20" x14ac:dyDescent="0.25">
      <c r="A220" s="17"/>
      <c r="B220" s="17"/>
      <c r="D220" s="13"/>
      <c r="E220" s="12"/>
      <c r="N220" s="2"/>
      <c r="P220"/>
      <c r="T220" s="4"/>
    </row>
    <row r="221" spans="1:20" x14ac:dyDescent="0.25">
      <c r="A221" s="17"/>
      <c r="B221" s="17"/>
      <c r="D221" s="13"/>
      <c r="E221" s="12"/>
      <c r="N221" s="2"/>
      <c r="P221"/>
      <c r="T221" s="4"/>
    </row>
    <row r="222" spans="1:20" x14ac:dyDescent="0.25">
      <c r="A222" s="14"/>
      <c r="B222" s="14"/>
      <c r="D222" s="12"/>
      <c r="E222" s="12"/>
      <c r="N222" s="2"/>
      <c r="P222"/>
      <c r="T222" s="4"/>
    </row>
    <row r="223" spans="1:20" x14ac:dyDescent="0.25">
      <c r="A223" s="17"/>
      <c r="B223" s="17"/>
      <c r="D223" s="13"/>
      <c r="E223" s="12"/>
      <c r="N223" s="2"/>
      <c r="P223"/>
      <c r="T223" s="4"/>
    </row>
    <row r="224" spans="1:20" x14ac:dyDescent="0.25">
      <c r="N224" s="2"/>
      <c r="P224"/>
      <c r="T224" s="4"/>
    </row>
    <row r="225" spans="14:20" x14ac:dyDescent="0.25">
      <c r="N225" s="2"/>
      <c r="P225"/>
      <c r="T225" s="4"/>
    </row>
    <row r="226" spans="14:20" x14ac:dyDescent="0.25">
      <c r="N226" s="2"/>
      <c r="P226"/>
      <c r="T226" s="4"/>
    </row>
    <row r="227" spans="14:20" x14ac:dyDescent="0.25">
      <c r="N227" s="2"/>
      <c r="P227"/>
      <c r="T227" s="4"/>
    </row>
    <row r="228" spans="14:20" x14ac:dyDescent="0.25">
      <c r="N228" s="2"/>
      <c r="P228"/>
      <c r="T228" s="4"/>
    </row>
    <row r="229" spans="14:20" x14ac:dyDescent="0.25">
      <c r="N229" s="2"/>
      <c r="P229"/>
      <c r="T229" s="4"/>
    </row>
    <row r="230" spans="14:20" x14ac:dyDescent="0.25">
      <c r="N230" s="2"/>
      <c r="P230"/>
      <c r="T230" s="4"/>
    </row>
    <row r="231" spans="14:20" x14ac:dyDescent="0.25">
      <c r="N231" s="2"/>
      <c r="P231"/>
      <c r="T231" s="4"/>
    </row>
    <row r="232" spans="14:20" x14ac:dyDescent="0.25">
      <c r="N232" s="2"/>
      <c r="P232"/>
      <c r="T232" s="4"/>
    </row>
    <row r="233" spans="14:20" x14ac:dyDescent="0.25">
      <c r="N233" s="2"/>
      <c r="P233"/>
      <c r="T233" s="4"/>
    </row>
    <row r="234" spans="14:20" x14ac:dyDescent="0.25">
      <c r="N234" s="2"/>
      <c r="P234"/>
      <c r="T234" s="4"/>
    </row>
    <row r="235" spans="14:20" x14ac:dyDescent="0.25">
      <c r="N235" s="2"/>
      <c r="P235"/>
      <c r="T235" s="4"/>
    </row>
    <row r="236" spans="14:20" x14ac:dyDescent="0.25">
      <c r="N236" s="2"/>
      <c r="P236"/>
      <c r="T236" s="4"/>
    </row>
    <row r="237" spans="14:20" x14ac:dyDescent="0.25">
      <c r="N237" s="2"/>
      <c r="P237"/>
      <c r="T237" s="4"/>
    </row>
    <row r="238" spans="14:20" x14ac:dyDescent="0.25">
      <c r="N238" s="2"/>
      <c r="P238"/>
      <c r="T238" s="4"/>
    </row>
    <row r="239" spans="14:20" x14ac:dyDescent="0.25">
      <c r="N239" s="2"/>
      <c r="P239"/>
      <c r="T239" s="4"/>
    </row>
    <row r="240" spans="14:20" x14ac:dyDescent="0.25">
      <c r="N240" s="2"/>
      <c r="P240"/>
      <c r="T240" s="4"/>
    </row>
    <row r="241" spans="14:20" x14ac:dyDescent="0.25">
      <c r="N241" s="2"/>
      <c r="P241"/>
      <c r="T241" s="4"/>
    </row>
    <row r="242" spans="14:20" x14ac:dyDescent="0.25">
      <c r="N242" s="2"/>
      <c r="P242"/>
      <c r="T242" s="4"/>
    </row>
    <row r="243" spans="14:20" x14ac:dyDescent="0.25">
      <c r="N243" s="2"/>
      <c r="P243"/>
      <c r="T243" s="4"/>
    </row>
    <row r="244" spans="14:20" x14ac:dyDescent="0.25">
      <c r="N244" s="2"/>
      <c r="P244"/>
      <c r="T244" s="4"/>
    </row>
    <row r="245" spans="14:20" x14ac:dyDescent="0.25">
      <c r="N245" s="2"/>
      <c r="P245"/>
      <c r="T245" s="4"/>
    </row>
    <row r="246" spans="14:20" x14ac:dyDescent="0.25">
      <c r="N246" s="2"/>
      <c r="P246"/>
      <c r="T246" s="4"/>
    </row>
    <row r="247" spans="14:20" x14ac:dyDescent="0.25">
      <c r="N247" s="2"/>
      <c r="P247"/>
      <c r="T247" s="4"/>
    </row>
    <row r="248" spans="14:20" x14ac:dyDescent="0.25">
      <c r="N248" s="2"/>
      <c r="P248"/>
      <c r="T248" s="4"/>
    </row>
    <row r="249" spans="14:20" x14ac:dyDescent="0.25">
      <c r="N249" s="2"/>
      <c r="P249"/>
      <c r="T249" s="4"/>
    </row>
    <row r="250" spans="14:20" x14ac:dyDescent="0.25">
      <c r="N250" s="2"/>
      <c r="P250"/>
      <c r="T250" s="4"/>
    </row>
    <row r="251" spans="14:20" x14ac:dyDescent="0.25">
      <c r="N251" s="2"/>
      <c r="P251"/>
      <c r="T251" s="4"/>
    </row>
    <row r="252" spans="14:20" x14ac:dyDescent="0.25">
      <c r="N252" s="2"/>
      <c r="P252"/>
      <c r="T252" s="4"/>
    </row>
    <row r="253" spans="14:20" x14ac:dyDescent="0.25">
      <c r="N253" s="2"/>
      <c r="P253"/>
      <c r="T253" s="4"/>
    </row>
    <row r="254" spans="14:20" x14ac:dyDescent="0.25">
      <c r="N254" s="2"/>
      <c r="P254"/>
      <c r="T254" s="4"/>
    </row>
    <row r="255" spans="14:20" x14ac:dyDescent="0.25">
      <c r="N255" s="2"/>
      <c r="P255"/>
      <c r="T255" s="4"/>
    </row>
    <row r="256" spans="14:20" x14ac:dyDescent="0.25">
      <c r="N256" s="2"/>
      <c r="P256"/>
      <c r="T256" s="4"/>
    </row>
    <row r="257" spans="14:20" x14ac:dyDescent="0.25">
      <c r="N257" s="2"/>
      <c r="P257"/>
      <c r="T257" s="4"/>
    </row>
    <row r="258" spans="14:20" x14ac:dyDescent="0.25">
      <c r="N258" s="2"/>
      <c r="P258"/>
      <c r="T258" s="4"/>
    </row>
    <row r="259" spans="14:20" x14ac:dyDescent="0.25">
      <c r="N259" s="2"/>
      <c r="P259"/>
      <c r="T259" s="4"/>
    </row>
    <row r="260" spans="14:20" x14ac:dyDescent="0.25">
      <c r="N260" s="2"/>
      <c r="P260"/>
      <c r="T260" s="4"/>
    </row>
    <row r="261" spans="14:20" x14ac:dyDescent="0.25">
      <c r="N261" s="2"/>
      <c r="P261"/>
      <c r="T261" s="4"/>
    </row>
    <row r="262" spans="14:20" x14ac:dyDescent="0.25">
      <c r="N262" s="2"/>
      <c r="P262"/>
      <c r="T262" s="4"/>
    </row>
    <row r="263" spans="14:20" x14ac:dyDescent="0.25">
      <c r="N263" s="2"/>
      <c r="P263"/>
      <c r="T263" s="4"/>
    </row>
    <row r="264" spans="14:20" x14ac:dyDescent="0.25">
      <c r="N264" s="2"/>
      <c r="P264"/>
      <c r="T264" s="4"/>
    </row>
    <row r="265" spans="14:20" x14ac:dyDescent="0.25">
      <c r="N265" s="2"/>
      <c r="P265"/>
      <c r="T265" s="4"/>
    </row>
    <row r="266" spans="14:20" x14ac:dyDescent="0.25">
      <c r="N266" s="2"/>
      <c r="P266"/>
      <c r="T266" s="4"/>
    </row>
    <row r="267" spans="14:20" x14ac:dyDescent="0.25">
      <c r="N267" s="2"/>
      <c r="P267"/>
      <c r="T267" s="4"/>
    </row>
    <row r="268" spans="14:20" x14ac:dyDescent="0.25">
      <c r="N268" s="2"/>
      <c r="P268"/>
      <c r="T268" s="4"/>
    </row>
    <row r="269" spans="14:20" x14ac:dyDescent="0.25">
      <c r="N269" s="2"/>
      <c r="P269"/>
      <c r="T269" s="4"/>
    </row>
    <row r="270" spans="14:20" x14ac:dyDescent="0.25">
      <c r="N270" s="2"/>
      <c r="P270"/>
      <c r="T270" s="4"/>
    </row>
    <row r="271" spans="14:20" x14ac:dyDescent="0.25">
      <c r="N271" s="2"/>
      <c r="P271"/>
      <c r="T271" s="4"/>
    </row>
    <row r="272" spans="14:20" x14ac:dyDescent="0.25">
      <c r="N272" s="2"/>
      <c r="P272"/>
      <c r="T272" s="4"/>
    </row>
    <row r="273" spans="14:20" x14ac:dyDescent="0.25">
      <c r="N273" s="2"/>
      <c r="P273"/>
      <c r="T273" s="4"/>
    </row>
    <row r="274" spans="14:20" x14ac:dyDescent="0.25">
      <c r="N274" s="2"/>
      <c r="P274"/>
      <c r="T274" s="4"/>
    </row>
    <row r="275" spans="14:20" x14ac:dyDescent="0.25">
      <c r="N275" s="2"/>
      <c r="P275"/>
      <c r="T275" s="4"/>
    </row>
    <row r="276" spans="14:20" x14ac:dyDescent="0.25">
      <c r="N276" s="2"/>
      <c r="P276"/>
      <c r="T276" s="4"/>
    </row>
    <row r="277" spans="14:20" x14ac:dyDescent="0.25">
      <c r="N277" s="2"/>
      <c r="P277"/>
      <c r="T277" s="4"/>
    </row>
    <row r="278" spans="14:20" x14ac:dyDescent="0.25">
      <c r="N278" s="2"/>
      <c r="P278"/>
      <c r="T278" s="4"/>
    </row>
    <row r="279" spans="14:20" x14ac:dyDescent="0.25">
      <c r="N279" s="2"/>
      <c r="P279"/>
      <c r="T279" s="4"/>
    </row>
    <row r="280" spans="14:20" x14ac:dyDescent="0.25">
      <c r="N280" s="2"/>
      <c r="P280"/>
      <c r="T280" s="4"/>
    </row>
    <row r="281" spans="14:20" x14ac:dyDescent="0.25">
      <c r="N281" s="2"/>
      <c r="P281"/>
      <c r="T281" s="4"/>
    </row>
    <row r="282" spans="14:20" x14ac:dyDescent="0.25">
      <c r="N282" s="2"/>
      <c r="P282"/>
      <c r="T282" s="4"/>
    </row>
    <row r="283" spans="14:20" x14ac:dyDescent="0.25">
      <c r="N283" s="2"/>
      <c r="P283"/>
      <c r="T283" s="4"/>
    </row>
    <row r="284" spans="14:20" x14ac:dyDescent="0.25">
      <c r="N284" s="2"/>
      <c r="P284"/>
      <c r="T284" s="4"/>
    </row>
    <row r="285" spans="14:20" x14ac:dyDescent="0.25">
      <c r="N285" s="2"/>
      <c r="P285"/>
      <c r="T285" s="4"/>
    </row>
    <row r="286" spans="14:20" x14ac:dyDescent="0.25">
      <c r="N286" s="2"/>
      <c r="P286"/>
      <c r="T286" s="4"/>
    </row>
    <row r="287" spans="14:20" x14ac:dyDescent="0.25">
      <c r="N287" s="2"/>
      <c r="P287"/>
      <c r="T287" s="4"/>
    </row>
    <row r="288" spans="14:20" x14ac:dyDescent="0.25">
      <c r="N288" s="2"/>
      <c r="P288"/>
      <c r="T288" s="4"/>
    </row>
    <row r="289" spans="1:20" x14ac:dyDescent="0.25">
      <c r="N289" s="2"/>
      <c r="P289"/>
      <c r="T289" s="4"/>
    </row>
    <row r="290" spans="1:20" x14ac:dyDescent="0.25">
      <c r="N290" s="2"/>
      <c r="P290"/>
      <c r="T290" s="4"/>
    </row>
    <row r="291" spans="1:20" x14ac:dyDescent="0.25">
      <c r="N291" s="2"/>
      <c r="P291"/>
      <c r="T291" s="4"/>
    </row>
    <row r="292" spans="1:20" x14ac:dyDescent="0.25">
      <c r="N292" s="2"/>
      <c r="P292"/>
      <c r="T292" s="4"/>
    </row>
    <row r="293" spans="1:20" x14ac:dyDescent="0.25">
      <c r="N293" s="2"/>
      <c r="P293"/>
      <c r="T293" s="4"/>
    </row>
    <row r="294" spans="1:20" x14ac:dyDescent="0.25">
      <c r="N294" s="2"/>
      <c r="P294"/>
      <c r="T294" s="4"/>
    </row>
    <row r="295" spans="1:20" x14ac:dyDescent="0.25">
      <c r="N295" s="2"/>
      <c r="P295"/>
      <c r="T295" s="4"/>
    </row>
    <row r="296" spans="1:20" x14ac:dyDescent="0.25">
      <c r="N296" s="2"/>
      <c r="P296"/>
      <c r="T296" s="4"/>
    </row>
    <row r="297" spans="1:20" x14ac:dyDescent="0.25">
      <c r="A297" s="20"/>
      <c r="B297" s="20"/>
      <c r="N297" s="2"/>
      <c r="P297"/>
      <c r="T297" s="4"/>
    </row>
    <row r="298" spans="1:20" x14ac:dyDescent="0.25">
      <c r="N298" s="2"/>
      <c r="P298"/>
      <c r="T298" s="4"/>
    </row>
    <row r="299" spans="1:20" x14ac:dyDescent="0.25">
      <c r="N299" s="2"/>
      <c r="P299"/>
      <c r="T299" s="4"/>
    </row>
    <row r="300" spans="1:20" x14ac:dyDescent="0.25">
      <c r="N300" s="2"/>
      <c r="P300"/>
      <c r="T300" s="4"/>
    </row>
    <row r="301" spans="1:20" x14ac:dyDescent="0.25">
      <c r="N301" s="2"/>
      <c r="P301"/>
      <c r="T301" s="4"/>
    </row>
    <row r="302" spans="1:20" x14ac:dyDescent="0.25">
      <c r="N302" s="2"/>
      <c r="P302"/>
      <c r="T302" s="4"/>
    </row>
    <row r="303" spans="1:20" x14ac:dyDescent="0.25">
      <c r="N303" s="2"/>
      <c r="P303"/>
      <c r="T303" s="4"/>
    </row>
    <row r="304" spans="1:20" x14ac:dyDescent="0.25">
      <c r="N304" s="2"/>
      <c r="P304"/>
      <c r="T304" s="4"/>
    </row>
    <row r="305" spans="14:20" x14ac:dyDescent="0.25">
      <c r="N305" s="2"/>
      <c r="P305"/>
      <c r="T305" s="4"/>
    </row>
    <row r="306" spans="14:20" x14ac:dyDescent="0.25">
      <c r="N306" s="2"/>
      <c r="P306"/>
      <c r="T306" s="4"/>
    </row>
    <row r="307" spans="14:20" x14ac:dyDescent="0.25">
      <c r="N307" s="2"/>
      <c r="P307"/>
      <c r="T307" s="4"/>
    </row>
    <row r="308" spans="14:20" x14ac:dyDescent="0.25">
      <c r="N308" s="2"/>
      <c r="P308"/>
      <c r="T308" s="4"/>
    </row>
    <row r="309" spans="14:20" x14ac:dyDescent="0.25">
      <c r="N309" s="2"/>
      <c r="P309"/>
      <c r="T309" s="4"/>
    </row>
    <row r="310" spans="14:20" x14ac:dyDescent="0.25">
      <c r="N310" s="2"/>
      <c r="P310"/>
      <c r="T310" s="4"/>
    </row>
    <row r="311" spans="14:20" x14ac:dyDescent="0.25">
      <c r="N311" s="2"/>
      <c r="P311"/>
      <c r="T311" s="4"/>
    </row>
    <row r="312" spans="14:20" x14ac:dyDescent="0.25">
      <c r="N312" s="2"/>
      <c r="P312"/>
      <c r="T312" s="4"/>
    </row>
    <row r="313" spans="14:20" x14ac:dyDescent="0.25">
      <c r="N313" s="2"/>
      <c r="P313"/>
      <c r="T313" s="4"/>
    </row>
    <row r="314" spans="14:20" x14ac:dyDescent="0.25">
      <c r="N314" s="2"/>
      <c r="P314"/>
      <c r="T314" s="4"/>
    </row>
    <row r="315" spans="14:20" x14ac:dyDescent="0.25">
      <c r="N315" s="2"/>
      <c r="P315"/>
      <c r="T315" s="4"/>
    </row>
    <row r="316" spans="14:20" x14ac:dyDescent="0.25">
      <c r="N316" s="2"/>
      <c r="P316"/>
      <c r="T316" s="4"/>
    </row>
    <row r="317" spans="14:20" x14ac:dyDescent="0.25">
      <c r="N317" s="2"/>
      <c r="P317"/>
      <c r="T317" s="4"/>
    </row>
    <row r="318" spans="14:20" x14ac:dyDescent="0.25">
      <c r="N318" s="2"/>
      <c r="P318"/>
      <c r="T318" s="4"/>
    </row>
    <row r="319" spans="14:20" x14ac:dyDescent="0.25">
      <c r="N319" s="2"/>
      <c r="P319"/>
      <c r="T319" s="4"/>
    </row>
    <row r="320" spans="14:20" x14ac:dyDescent="0.25">
      <c r="N320" s="2"/>
      <c r="P320"/>
      <c r="T320" s="4"/>
    </row>
    <row r="321" spans="14:20" x14ac:dyDescent="0.25">
      <c r="N321" s="2"/>
      <c r="P321"/>
      <c r="T321" s="4"/>
    </row>
    <row r="322" spans="14:20" x14ac:dyDescent="0.25">
      <c r="N322" s="2"/>
      <c r="P322"/>
      <c r="T322" s="4"/>
    </row>
    <row r="323" spans="14:20" x14ac:dyDescent="0.25">
      <c r="N323" s="2"/>
      <c r="P323"/>
      <c r="T323" s="4"/>
    </row>
    <row r="324" spans="14:20" x14ac:dyDescent="0.25">
      <c r="N324" s="2"/>
      <c r="P324"/>
      <c r="T324" s="4"/>
    </row>
    <row r="325" spans="14:20" x14ac:dyDescent="0.25">
      <c r="N325" s="2"/>
      <c r="P325"/>
      <c r="T325" s="4"/>
    </row>
    <row r="326" spans="14:20" x14ac:dyDescent="0.25">
      <c r="N326" s="2"/>
      <c r="P326"/>
      <c r="T326" s="4"/>
    </row>
    <row r="327" spans="14:20" x14ac:dyDescent="0.25">
      <c r="N327" s="2"/>
      <c r="P327"/>
      <c r="T327" s="4"/>
    </row>
    <row r="328" spans="14:20" x14ac:dyDescent="0.25">
      <c r="N328" s="2"/>
      <c r="P328"/>
      <c r="T328" s="4"/>
    </row>
    <row r="329" spans="14:20" x14ac:dyDescent="0.25">
      <c r="N329" s="2"/>
      <c r="P329"/>
      <c r="T329" s="4"/>
    </row>
    <row r="330" spans="14:20" x14ac:dyDescent="0.25">
      <c r="N330" s="2"/>
      <c r="P330"/>
      <c r="T330" s="4"/>
    </row>
    <row r="331" spans="14:20" x14ac:dyDescent="0.25">
      <c r="N331" s="2"/>
      <c r="P331"/>
      <c r="T331" s="4"/>
    </row>
    <row r="332" spans="14:20" x14ac:dyDescent="0.25">
      <c r="N332" s="2"/>
      <c r="P332"/>
      <c r="T332" s="4"/>
    </row>
    <row r="333" spans="14:20" x14ac:dyDescent="0.25">
      <c r="N333" s="2"/>
      <c r="P333"/>
      <c r="T333" s="4"/>
    </row>
    <row r="334" spans="14:20" x14ac:dyDescent="0.25">
      <c r="N334" s="2"/>
      <c r="P334"/>
      <c r="T334" s="4"/>
    </row>
    <row r="335" spans="14:20" x14ac:dyDescent="0.25">
      <c r="N335" s="2"/>
      <c r="P335"/>
      <c r="T335" s="4"/>
    </row>
    <row r="336" spans="14:20" x14ac:dyDescent="0.25">
      <c r="N336" s="2"/>
      <c r="P336"/>
      <c r="T336" s="4"/>
    </row>
    <row r="337" spans="14:20" x14ac:dyDescent="0.25">
      <c r="N337" s="2"/>
      <c r="P337"/>
      <c r="T337" s="4"/>
    </row>
    <row r="338" spans="14:20" x14ac:dyDescent="0.25">
      <c r="N338" s="2"/>
      <c r="P338"/>
      <c r="T338" s="4"/>
    </row>
    <row r="339" spans="14:20" x14ac:dyDescent="0.25">
      <c r="N339" s="2"/>
      <c r="P339"/>
      <c r="T339" s="4"/>
    </row>
    <row r="340" spans="14:20" x14ac:dyDescent="0.25">
      <c r="N340" s="2"/>
      <c r="P340"/>
      <c r="T340" s="4"/>
    </row>
    <row r="341" spans="14:20" x14ac:dyDescent="0.25">
      <c r="N341" s="2"/>
      <c r="P341"/>
      <c r="T341" s="4"/>
    </row>
    <row r="342" spans="14:20" x14ac:dyDescent="0.25">
      <c r="N342" s="2"/>
      <c r="P342"/>
      <c r="T342" s="4"/>
    </row>
    <row r="343" spans="14:20" x14ac:dyDescent="0.25">
      <c r="N343" s="2"/>
      <c r="P343"/>
      <c r="T343" s="4"/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Macros de Excel 4.0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Hoja1</vt:lpstr>
      <vt:lpstr>Macro1</vt:lpstr>
      <vt:lpstr>DATOSASI</vt:lpstr>
      <vt:lpstr>DATOSASI1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personal</cp:lastModifiedBy>
  <dcterms:created xsi:type="dcterms:W3CDTF">2018-11-21T12:52:11Z</dcterms:created>
  <dcterms:modified xsi:type="dcterms:W3CDTF">2020-02-06T13:55:04Z</dcterms:modified>
</cp:coreProperties>
</file>